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Career\Data Analysis\"/>
    </mc:Choice>
  </mc:AlternateContent>
  <xr:revisionPtr revIDLastSave="0" documentId="13_ncr:1_{E50948E4-C89E-4FC2-A5DC-F30AE4B5DD9C}" xr6:coauthVersionLast="47" xr6:coauthVersionMax="47" xr10:uidLastSave="{00000000-0000-0000-0000-000000000000}"/>
  <bookViews>
    <workbookView xWindow="0" yWindow="0" windowWidth="23040" windowHeight="12240" xr2:uid="{11D19B54-0A1D-4A60-863D-C256AEB41E58}"/>
  </bookViews>
  <sheets>
    <sheet name="Table1_2" sheetId="2" r:id="rId1"/>
  </sheets>
  <definedNames>
    <definedName name="ExternalData_1" localSheetId="0" hidden="1">Table1_2!$A$1:$R$97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C62E56-C08F-4C58-9FA8-18B1A8A17FBE}" keepAlive="1" name="Query - Final table" description="Connection to the 'Final table' query in the workbook." type="5" refreshedVersion="8" background="1" saveData="1">
    <dbPr connection="Provider=Microsoft.Mashup.OleDb.1;Data Source=$Workbook$;Location=&quot;Final table&quot;;Extended Properties=&quot;&quot;" command="SELECT * FROM [Final table]"/>
  </connection>
  <connection id="2" xr16:uid="{0AF02C73-FE5B-4431-9259-450E233301FA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<sst xmlns="http://schemas.openxmlformats.org/spreadsheetml/2006/main" count="1556" uniqueCount="599">
  <si>
    <t>Job ID</t>
  </si>
  <si>
    <t>Job Title</t>
  </si>
  <si>
    <t>Company</t>
  </si>
  <si>
    <t>Company Type</t>
  </si>
  <si>
    <t>Sector</t>
  </si>
  <si>
    <t>Location</t>
  </si>
  <si>
    <t>Country</t>
  </si>
  <si>
    <t>Job_via</t>
  </si>
  <si>
    <t>Date posted</t>
  </si>
  <si>
    <t>Remote, hybrid, or on-site?</t>
  </si>
  <si>
    <t>Employment Type</t>
  </si>
  <si>
    <t>Seniority</t>
  </si>
  <si>
    <t>Years of experience</t>
  </si>
  <si>
    <t>Degree Required</t>
  </si>
  <si>
    <t>Technical Skills</t>
  </si>
  <si>
    <t>Responsibilities</t>
  </si>
  <si>
    <t>Primary Business Problem</t>
  </si>
  <si>
    <t>Data Analyst</t>
  </si>
  <si>
    <t>Elite Education Group</t>
  </si>
  <si>
    <t>Education</t>
  </si>
  <si>
    <t>Egypt</t>
  </si>
  <si>
    <t>WUZZUF</t>
  </si>
  <si>
    <t>On-site</t>
  </si>
  <si>
    <t>Full-time</t>
  </si>
  <si>
    <t>Mid-Level</t>
  </si>
  <si>
    <t>3–5 years</t>
  </si>
  <si>
    <t>Bachelor's in Mathematics, Statistics or related field</t>
  </si>
  <si>
    <t>Excel, VBA, Data Analysis, Data Validation, Data Management, Reporting</t>
  </si>
  <si>
    <t>Improve academic performance and operational decision-making through educational data analysis</t>
  </si>
  <si>
    <t>Analyst, College Access and Preparedness Operations</t>
  </si>
  <si>
    <t>Success Academy Charter Schools</t>
  </si>
  <si>
    <t>School</t>
  </si>
  <si>
    <t>Education, K–12 Charter Schools</t>
  </si>
  <si>
    <t>New York, United States</t>
  </si>
  <si>
    <t>United States</t>
  </si>
  <si>
    <t>Company Website</t>
  </si>
  <si>
    <t>Not Specified</t>
  </si>
  <si>
    <t>Bachelor's Degree</t>
  </si>
  <si>
    <t>Dashboards, Spreadsheets, Project Management Systems, AI-enabled Workflows</t>
  </si>
  <si>
    <t>Improve college access operations and student preparedness through data-driven operational management</t>
  </si>
  <si>
    <t>Short Term Analyst, Acumen Academy</t>
  </si>
  <si>
    <t>Acumen</t>
  </si>
  <si>
    <t>Non-profit</t>
  </si>
  <si>
    <t>Education, Social Impact Learning</t>
  </si>
  <si>
    <t>Bogotá, Colombia</t>
  </si>
  <si>
    <t>Colombia</t>
  </si>
  <si>
    <t>Temporary</t>
  </si>
  <si>
    <t>0–1 years</t>
  </si>
  <si>
    <t>Google Sheets, Microsoft Excel, VLOOKUP, XLOOKUP, Pivot Tables, Salesforce, HubSpot, Canva, G Suite, WhatsApp</t>
  </si>
  <si>
    <t>Improve learner engagement and operational efficiency through data-driven management of online learning programs</t>
  </si>
  <si>
    <t>iSchool</t>
  </si>
  <si>
    <t>Education, EdTech</t>
  </si>
  <si>
    <t>Nasr City, Cairo, Egypt</t>
  </si>
  <si>
    <t>LinkedIn</t>
  </si>
  <si>
    <t>Hybrid</t>
  </si>
  <si>
    <t>Senior</t>
  </si>
  <si>
    <t>Bachelor's Degree (Statistics, Mathematics, Computer Science, Data Science, or related field)</t>
  </si>
  <si>
    <t>Excel, SQL, Power BI, Tableau</t>
  </si>
  <si>
    <t>Improve educational outcomes through educational data analysis and data-driven decision-making</t>
  </si>
  <si>
    <t>Education Data Analyst</t>
  </si>
  <si>
    <t>United Nations Children's Fund (UNICEF)</t>
  </si>
  <si>
    <t>NGO</t>
  </si>
  <si>
    <t>UNChannel</t>
  </si>
  <si>
    <t>Bachelor's Degree (Education, Statistics, Data Analysis, or a related field)</t>
  </si>
  <si>
    <t>SDG 4 Indicators, EMIS</t>
  </si>
  <si>
    <t>• Review and validate translated Education Statistical Yearbooks
• Map education data to SDG 4 indicators
• Analyze trends in education indicators
• Prepare reports and present findings
• Collaborate to improve data collection and reporting
• Engage stakeholders for planning and advocacy
• Identify improvements to the Education Management Information System (EMIS)</t>
  </si>
  <si>
    <t>Improve education sector planning and policy development through evidence-based data analysis</t>
  </si>
  <si>
    <t>Improve educational outcomes through data-driven decision-making</t>
  </si>
  <si>
    <t>Business Data Analyst I</t>
  </si>
  <si>
    <t>Liberty University</t>
  </si>
  <si>
    <t>University</t>
  </si>
  <si>
    <t>Education, Higher Education</t>
  </si>
  <si>
    <t>Lynchburg, USA</t>
  </si>
  <si>
    <t>EdTech.com</t>
  </si>
  <si>
    <t>Remote</t>
  </si>
  <si>
    <t>Entry-Level</t>
  </si>
  <si>
    <t>1–2 years</t>
  </si>
  <si>
    <t>SQL, SSRS, Tableau, Excel, Access, Argos</t>
  </si>
  <si>
    <t>• Analyze workflow and data integrity issues across departments
• Lead process transformation projects via data collection and visualization
• Research industry best practices to document and optimize business operations
• Apply diagnostic and predictive analytics to generate cost-saving or revenue-driving insights
• Support operational systems and provide technical assistance to business units</t>
  </si>
  <si>
    <t>Eliminate business process bottlenecks and improve operational decision-making across university units</t>
  </si>
  <si>
    <t>Noon - Education for Everyone</t>
  </si>
  <si>
    <t>2–3 years</t>
  </si>
  <si>
    <t>SQL, Tableau, Power BI, Google Sheets, Python</t>
  </si>
  <si>
    <t>Improve student outcomes and business performance through educational data analysis</t>
  </si>
  <si>
    <t>Ranking Data Analyst</t>
  </si>
  <si>
    <t>Nile University</t>
  </si>
  <si>
    <t>El Sheikh Zaid, Giza, Egypt</t>
  </si>
  <si>
    <t>Bachelor's Degree (Data Science, Statistics, Computer Science, or a related field)</t>
  </si>
  <si>
    <t>Analytics, Data Analysis, Dashboard Development, KPI Monitoring, Report Writing</t>
  </si>
  <si>
    <t>• Investigate university ranking methodologies and maintain the ranking manual
• Collect and manage internal and external data
• Prepare documentation and data submissions for ranking organizations
• Develop reports and presentations on ranking performance
• Develop and maintain KPI dashboards
• Analyze international activities data
• Monitor data quality and compliance with ranking methodologies
• Follow up with internal departments and stakeholders to improve operations</t>
  </si>
  <si>
    <t>Improve university ranking performance through data-driven analysis and reporting</t>
  </si>
  <si>
    <t>Albert Einstein College of Medicine</t>
  </si>
  <si>
    <t>Bronx, USA</t>
  </si>
  <si>
    <t>Excel, one45</t>
  </si>
  <si>
    <t>• Distribute and collect course and clerkship evaluations
• Clean and archive evaluation datasets
• Prepare reports for academic and curricular committees
• Maintain instructor databases and flag underperforming faculty for remediation
• Support Continuous Quality Improvement (CQI) programs and medical education research</t>
  </si>
  <si>
    <t>Track course/instructor quality and maintain accreditation compliance through program evaluation and CQI analytics</t>
  </si>
  <si>
    <t>Data Analyst Coordinator I</t>
  </si>
  <si>
    <t>Michigan State University</t>
  </si>
  <si>
    <t>East Lansing, USA</t>
  </si>
  <si>
    <t>Bachelor's Degree (Business, Communications, Math, Liberal Arts or related field)</t>
  </si>
  <si>
    <t>Stata, SQL, Python, Tableau, GIS, Microsoft Office</t>
  </si>
  <si>
    <t>Ensure admissions and student success data accuracy and support institutional research decision-making</t>
  </si>
  <si>
    <t>محلل بيانات</t>
  </si>
  <si>
    <t>Alexandria University</t>
  </si>
  <si>
    <t>Alexandria, Egypt</t>
  </si>
  <si>
    <t>Part-time</t>
  </si>
  <si>
    <t>not specified</t>
  </si>
  <si>
    <t>Bachelor's Degree (Statistics, Data Science, Computer Science, or a related field)</t>
  </si>
  <si>
    <t>Statistics, Data Modeling, Python, R, Excel</t>
  </si>
  <si>
    <t>Improve university operations through data-driven decision-making</t>
  </si>
  <si>
    <t>Senior Data Analytics Engineer</t>
  </si>
  <si>
    <t>Noon Academy</t>
  </si>
  <si>
    <t>London, United Kingdom</t>
  </si>
  <si>
    <t>United Kingdom</t>
  </si>
  <si>
    <t>SQL, Python, Data Modelling, Airflow, AWS</t>
  </si>
  <si>
    <t>• Build and maintain curated datasets and data models
• Define and standardize business metrics
• Improve data reliability through validation and monitoring
• Lead cross-functional data projects
• Investigate and resolve data issues
• Enable self-service analytics
• Support AI data tools with trusted datasets
• Mentor data team members</t>
  </si>
  <si>
    <t>Improve company-wide decision-making through reliable and scalable education data infrastructure</t>
  </si>
  <si>
    <t>New York Medical College</t>
  </si>
  <si>
    <t>Valhalla, USA</t>
  </si>
  <si>
    <t>Master's Degree (Statistics, Mathematics, Epidemiology, Computer Science, Economics, or related field)</t>
  </si>
  <si>
    <t>Stata, SAS, R, SPSS</t>
  </si>
  <si>
    <t>• Collect, clean, and preprocess large datasets
• Perform statistical analysis to detect patterns and correlations
• Build interactive reports and dashboards
• Collaborate with faculty and researchers on analytical challenges</t>
  </si>
  <si>
    <t>Enable data-driven academic research and institutional decision-making through statistical modeling and reporting</t>
  </si>
  <si>
    <t>Learning Analyst</t>
  </si>
  <si>
    <t>Lahore, Pakistan</t>
  </si>
  <si>
    <t>Pakistan</t>
  </si>
  <si>
    <t>Bachelor's Degree (Education, Curriculum Development, or related field)</t>
  </si>
  <si>
    <t>Educational Technology</t>
  </si>
  <si>
    <t>• Lead curriculum development and adaptation
• Visit campuses and monitor implementation
• Collaborate with remote teachers and facilitators
• Monitor teaching quality and provide recommendations
• Coordinate with education stakeholders
• Design teacher training programs
• Collect and analyze student performance data
• Track learning outcomes
• Update teaching materials
• Support classroom technology integration</t>
  </si>
  <si>
    <t>Improve student learning outcomes through curriculum optimization and data-driven educational improvement</t>
  </si>
  <si>
    <t>Academic Analyst</t>
  </si>
  <si>
    <t>World Wide Jobs</t>
  </si>
  <si>
    <t>Consulting</t>
  </si>
  <si>
    <t>Cairo, Egypt</t>
  </si>
  <si>
    <t>Bachelor's Degree (Data Analytics, Statistics, Education, Business Analytics, or related field)</t>
  </si>
  <si>
    <t>Microsoft Power BI</t>
  </si>
  <si>
    <t>• Collect and maintain academic data
• Ensure data accuracy and confidentiality
• Develop academic dashboards and reporting systems
• Analyze student performance and identify trends
• Generate KPI and accreditation reports
• Support curriculum evaluation and institutional research
• Provide data-driven recommendations
• Collaborate with academic and IT teams
• Train staff on dashboard usage</t>
  </si>
  <si>
    <t>Improve student outcomes and institutional decision-making through academic data analysis</t>
  </si>
  <si>
    <t>QuestBridge</t>
  </si>
  <si>
    <t>Education, College Access</t>
  </si>
  <si>
    <t>Remote, United States</t>
  </si>
  <si>
    <t>SQL, Tableau, Python, R, Git, Statistics</t>
  </si>
  <si>
    <t>• Execute reliable data operations
• Clean and process program datasets
• Review and audit queries and code
• Create and maintain data documentation
• Steward organizational data
• Automate workflows
• Support cross-functional analytical requests
• Evaluate student applications for organizational programs</t>
  </si>
  <si>
    <t>Improve operational efficiency and educational program delivery through reliable data operations and analytics</t>
  </si>
  <si>
    <t>Senior Data Analyst</t>
  </si>
  <si>
    <t>Khan Academy</t>
  </si>
  <si>
    <t>Gurgaon, India</t>
  </si>
  <si>
    <t>India</t>
  </si>
  <si>
    <t>Contract</t>
  </si>
  <si>
    <t>SQL, R, Python, BigQuery, Google Sheets, APIs, Streamlit, Looker Studio, Tableau, Git, Machine Learning, Statistics</t>
  </si>
  <si>
    <t>• Automate data ingestion from multiple sources
• Design and maintain scalable data pipelines and workflows
• Ensure data accuracy and reliability
• Perform exploratory analyses
• Build dashboards and reports
• Define and track KPIs
• Translate complex datasets into actionable insights
• Collaborate with cross-functional teams to improve products</t>
  </si>
  <si>
    <t>Improve educational products and organizational decision-making through scalable analytics infrastructure</t>
  </si>
  <si>
    <t>Educational Data Analyst</t>
  </si>
  <si>
    <t>Newsela</t>
  </si>
  <si>
    <t>SQL, Python, Data Visualization, Dashboard Design</t>
  </si>
  <si>
    <t>• Engage with school district administrators to understand analytics needs
• Design and develop customized metrics and dashboards
• Manage database queries and data integrations using SQL
• Maintain and troubleshoot dashboards and data quality issues
• Collaborate with data scientists, engineers, and product teams to improve the data platform.
• Educate stakeholders on interpreting dashboard insights</t>
  </si>
  <si>
    <t>Improve K–12 educational outcomes through customized analytics and data-driven decision-making</t>
  </si>
  <si>
    <t>IAR Data Analyst</t>
  </si>
  <si>
    <t>Western Governors University</t>
  </si>
  <si>
    <t>Salt Lake City, USA</t>
  </si>
  <si>
    <t>SQL, Tableau, Power BI</t>
  </si>
  <si>
    <t>Enhance student retention and program success by analyzing learning engagement behaviors</t>
  </si>
  <si>
    <t>Academic Systems and Data Analyst I</t>
  </si>
  <si>
    <t>Wright State University</t>
  </si>
  <si>
    <t>Dayton, USA</t>
  </si>
  <si>
    <t>Banner, PL/SQL, Excel</t>
  </si>
  <si>
    <t>• Support and maintain Banner student and faculty self-service systems
• Manage end-of-term grading procedures and exceptions
• Conduct compliance reporting to NSC and NSLDS
• Audit student academic records and maintain data integrity
• Automate manual processes to optimize registrar operations</t>
  </si>
  <si>
    <t>Eliminate operational bottlenecks and maintain compliance across registrar systems and student data workflows</t>
  </si>
  <si>
    <t>Senior Product Analyst</t>
  </si>
  <si>
    <t>Age of Learning</t>
  </si>
  <si>
    <t>5–7 years</t>
  </si>
  <si>
    <t>Bachelor's or Master's Degree (Statistics, Applied Mathematics, Data Science, Economics, Computer Science, or related quantitative field)</t>
  </si>
  <si>
    <t>SQL, dbt, Omni, Looker, Lightdash, R, Python, A/B Testing, Statistical Analysis</t>
  </si>
  <si>
    <t>• Design and analyze A/B tests
• Conduct exploratory analyses of customer behavior
• Apply statistical modeling to evaluate product performance
• Define and track KPIs
• Build automated dashboards and self-service reporting tools
• Translate analyses into actionable insights
• Present findings to stakeholders</t>
  </si>
  <si>
    <t>Improve product performance, user engagement, retention, and learning outcomes through product analytics</t>
  </si>
  <si>
    <t>Data and AI Reporting Analyst</t>
  </si>
  <si>
    <t>Syracuse University</t>
  </si>
  <si>
    <t>Syracuse, USA</t>
  </si>
  <si>
    <t>Claude, Copilot, Power BI, Tableau, SQL, Microsoft Fabric, Azure</t>
  </si>
  <si>
    <t>Centralize institutional data and apply AI tools to improve student and enrollment data accessibility for senior leadership</t>
  </si>
  <si>
    <t>Senior Data Analyst Contract</t>
  </si>
  <si>
    <t>NoRedInk</t>
  </si>
  <si>
    <t>Reach Capital Job Board</t>
  </si>
  <si>
    <t>SQL, Snowflake, dbt, Sigma, Amplitude, Mixpanel, Heap, Python, R</t>
  </si>
  <si>
    <t>Improve product and business decision-making through scalable analytics and reporting</t>
  </si>
  <si>
    <t>Education and Develop Analyst</t>
  </si>
  <si>
    <t>Nemours Children's Health</t>
  </si>
  <si>
    <t>Healthcare, Pediatric Healthcare</t>
  </si>
  <si>
    <t>Jacksonville, FL, United States</t>
  </si>
  <si>
    <t>High School Diploma</t>
  </si>
  <si>
    <t>Epic</t>
  </si>
  <si>
    <t>Improve operational quality and workforce training through quality assurance and process improvement</t>
  </si>
  <si>
    <t>Arizona State University</t>
  </si>
  <si>
    <t>Tempe, USA</t>
  </si>
  <si>
    <t>Excel</t>
  </si>
  <si>
    <t>• Manage data analysis and reporting for health sector decision-making and strategic planning
• Create and maintain statistical reporting tools for health and behavioral health services
• Audit data inputs and evaluate organizational practices
• Prepare and coordinate reports interpreting statistics and financial data for resource planning
• Prepare and present data to leadership and university committees
• Perform data computation and statistical analysis using software programs</t>
  </si>
  <si>
    <t>Improve operational reporting and decision-making for university health services</t>
  </si>
  <si>
    <t>Senior Product Data Analyst</t>
  </si>
  <si>
    <t>WGU Corporation</t>
  </si>
  <si>
    <t>Bachelor's Degree (Finance, Marketing, Business, or related field)</t>
  </si>
  <si>
    <t>Pendo, Adobe Analytics, CJA, Google Analytics, Tableau, Power BI, Excel</t>
  </si>
  <si>
    <t>Drive product development and improve student outcomes through end-to-end product data telemetry and analytics</t>
  </si>
  <si>
    <t>Data Research Analyst</t>
  </si>
  <si>
    <t>University of Kentucky</t>
  </si>
  <si>
    <t>Lexington, USA</t>
  </si>
  <si>
    <t>Tableau Desktop, SQL</t>
  </si>
  <si>
    <t>• Develop and design interactive Tableau dashboards and self-service tools
• Provide analytical support for extramural research operations
• Connect and join diverse datasets using complex calculated fields
• Create technical documentation and metadata flowcharts
• Deliver in-person and virtual training on research data usage</t>
  </si>
  <si>
    <t>Streamline extramural research reporting and facilitate data-driven decision-making across university research units</t>
  </si>
  <si>
    <t>Research Data Analyst</t>
  </si>
  <si>
    <t>Kansas State University</t>
  </si>
  <si>
    <t>Manhattan, USA</t>
  </si>
  <si>
    <t>Python, SQL, Git, LLM</t>
  </si>
  <si>
    <t>• Set up simulations and perform data engineering for power systems research
• Support AI/LLM application development and prototyping
• Execute code testing, benchmarking, and documentation
• Prepare technical research deliverables and reports</t>
  </si>
  <si>
    <t>Accelerate power systems research innovation through AI prototyping and simulation data analytics</t>
  </si>
  <si>
    <t>Stride, Inc.</t>
  </si>
  <si>
    <t>Herndon, USA</t>
  </si>
  <si>
    <t>8–10 years</t>
  </si>
  <si>
    <t>Bachelor's Degree (Data Analytics, Computer Science, Mathematics, Statistics or related field)</t>
  </si>
  <si>
    <t>DBT, SQL, Python, GitHub, Snowflake</t>
  </si>
  <si>
    <t>• Lead complex, open-ended analytical initiatives for business and research teams
• Build data transformation pipelines and maintain analytic data models
• Translate vague strategic questions into quantitative comparison frameworks
• Serve as technical liaison for cross-functional analytics projects</t>
  </si>
  <si>
    <t>Inform strategic K-12 product development and learning outcomes through advanced telemetry and statistical modeling</t>
  </si>
  <si>
    <t>College Data Analyst, Accreditation and Learning Assessment</t>
  </si>
  <si>
    <t>Eastern Michigan University (GameAbove College)</t>
  </si>
  <si>
    <t>Ypsilanti, USA</t>
  </si>
  <si>
    <t>Excel, Banner, Qualtrics, Tableau</t>
  </si>
  <si>
    <t>• Manage program assessment and learning outcomes data
• Support accreditation cycles (ABET ATMAE) across engineering and technology programs
• Collect and summarize student performance metrics
• Build survey instruments and analyze feedback
• Prepare analytical reports for deans and department heads</t>
  </si>
  <si>
    <t>Maintain accreditation compliance and improve program learning outcomes through systematic curriculum assessment</t>
  </si>
  <si>
    <t>Clinical Data Analyst</t>
  </si>
  <si>
    <t>Columbia University (Vagelos College)</t>
  </si>
  <si>
    <t>New York, USA</t>
  </si>
  <si>
    <t>REDCap, SAS, R, Excel</t>
  </si>
  <si>
    <t>• Abstract and manage complex neonatal and pediatric clinical trial data
• Build electronic data capture (EDC) systems and survey forms
• Perform data validation and audit error rates
• Execute statistical analysis on patient outcomes and clinical variables
• Support principal investigators with research reporting and publications</t>
  </si>
  <si>
    <t>Ensure clinical trial data integrity and improve patient outcomes research through standardized clinical data capture</t>
  </si>
  <si>
    <t>• Analyze workflow and data integrity issues across campus departments
• Lead process optimization projects via data collection and visualization
• Apply predictive and prescriptive analytics to identify cost savings and revenue growth opportunities
• Document business processes and maintain university data support systems</t>
  </si>
  <si>
    <t>Streamline university operations and eliminate departmental workflow inefficiencies to drive revenue and cost optimization</t>
  </si>
  <si>
    <t>University of South Carolina</t>
  </si>
  <si>
    <t>Columbia, USA</t>
  </si>
  <si>
    <t>Bachelor's Degree (Statistics, Data Science, Education, or related field)</t>
  </si>
  <si>
    <t>SAS, Stata, R, SQL, Excel</t>
  </si>
  <si>
    <t>• Manage and prepare longitudinal educator research datasets (SC TEACHER project)
• Clean and link state-level administrative education records
• Execute longitudinal cohort modeling and descriptive statistical analysis
• Create data documentation and codebooks
• Prepare analytical briefs and research policy reports</t>
  </si>
  <si>
    <t>Optimize teacher retention, recruitment, and effectiveness through longitudinal state-wide educator data analytics</t>
  </si>
  <si>
    <t>Chess.com</t>
  </si>
  <si>
    <t>Remote, USA</t>
  </si>
  <si>
    <t>BigQuery, Python, Jupyter, Airflow</t>
  </si>
  <si>
    <t>• Analyze player retention and growth drivers using exploratory analytical techniques
• Design, run, and evaluate large-scale product A/B experiments with cross-functional teams
• Query BigQuery directly to uncover platform usage trends
• Build automated data quality practices to safeguard production datasets</t>
  </si>
  <si>
    <t>Maximize user retention and growth by evaluating product experiments and engagement behavior</t>
  </si>
  <si>
    <t>University of Maryland, Baltimore</t>
  </si>
  <si>
    <t>Baltimore, USA</t>
  </si>
  <si>
    <t>SQL, Tableau, R, Python, SAS</t>
  </si>
  <si>
    <t>• Build predictive models to evaluate student persistence and retention
• Conduct complex cohort analyses across multi-year institutional datasets
• Partner with academic leadership to interpret enrollment trends and revenue forecasts
• Design interactive dashboards for university executive leadership</t>
  </si>
  <si>
    <t>Predict and improve student persistence, retention, and revenue forecasting across academic programs</t>
  </si>
  <si>
    <t>Business Intelligence Analyst</t>
  </si>
  <si>
    <t>Johns Hopkins University</t>
  </si>
  <si>
    <t>Power BI, SQL, SSIS, DAX, Excel</t>
  </si>
  <si>
    <t>• Extract, transform, and load institutional enterprise data from disparate ERP systems
• Develop executive reports and automated Power BI dashboards?
• Conduct data auditing and governance checks across operational databases
• Partner with finance and registrar teams to streamline recurring reporting workflows</t>
  </si>
  <si>
    <t>Centralize fragmented enterprise data to optimize financial and operational decision-making</t>
  </si>
  <si>
    <t>Utah State University</t>
  </si>
  <si>
    <t>Logan, USA</t>
  </si>
  <si>
    <t>SQL, Tableau, Power BI, Oracle, Cognos</t>
  </si>
  <si>
    <t>• Standardize institutional performance metrics across academic and administrative departments
• Create self-service reporting environments and dashboards for campus leadership
• Analyze student enrollment trends and course demand pipelines
• Ensure data security compliance and governance protocols</t>
  </si>
  <si>
    <t>Democratize institutional data access and optimize course enrollment capacity planning</t>
  </si>
  <si>
    <t>University of Utah</t>
  </si>
  <si>
    <t>Bachelor's Degree (Statistics, Data Science, Public Health, or related field)</t>
  </si>
  <si>
    <t>R, Python, Stata, SQL</t>
  </si>
  <si>
    <t>• Lead secure acquisition, organization, and cleaning of multi-center research datasets
• Perform advanced inferential and multivariate statistical modeling
• Prepare grant deliverables, technical documentation, and peer-reviewed publication charts
• Maintain research data pipelines and data dictionary standards</t>
  </si>
  <si>
    <t>Ensure research data integrity and accelerate grant-funded educational and clinical research outcomes</t>
  </si>
  <si>
    <t>Lead Data Analyst</t>
  </si>
  <si>
    <t>General Assembly</t>
  </si>
  <si>
    <t>SQL, Snowflake, Looker, Python, dbt</t>
  </si>
  <si>
    <t>• Lead technical analytics initiatives across product and student learning pipelines
• Model scalable data schemas in Snowflake using dbt
• Architect self-service Looker semantic models and dashboards
• Mentor junior and mid-level analysts on analytical design and query optimization
• Collaborate with product managers to define tracking strategies for learning experiences</t>
  </si>
  <si>
    <t>Optimize digital course completion rates and scale enterprise product analytics infrastructure</t>
  </si>
  <si>
    <t>Data Analyst - Revenue Ops</t>
  </si>
  <si>
    <t>Guild Education</t>
  </si>
  <si>
    <t>Denver, USA</t>
  </si>
  <si>
    <t>Salesforce, SQL, Tableau, Excel</t>
  </si>
  <si>
    <t>• Analyze sales pipeline efficiency and customer acquisition metrics
• Maintain sales forecasting models and revenue tracking dashboards
• Audit CRM data integrity and resolve workflow discrepancies
• Partner with go-to-market teams to align revenue ops strategies</t>
  </si>
  <si>
    <t>Optimize sales funnel conversion and improve revenue forecasting accuracy across enterprise educational partnerships</t>
  </si>
  <si>
    <t>Chess.com (ChessKid)</t>
  </si>
  <si>
    <t>SQL, Looker, Python, Google Analytics</t>
  </si>
  <si>
    <t>• Monitor active user metrics and subscriber conversion funnels for ChessKid platform
• Build self-service Looker reporting environments for product leads
• Analyze user feature engagement and churn behavior
• Design automated reporting pipelines for growth initiatives</t>
  </si>
  <si>
    <t>Increase youth subscriber retention and optimize growth conversion funnels for educational games</t>
  </si>
  <si>
    <t>Data Analyst - Growth &amp; Monetization</t>
  </si>
  <si>
    <t>Coursera</t>
  </si>
  <si>
    <t>Mountain View, USA</t>
  </si>
  <si>
    <t>SQL, Python, Tableau, Amplitude</t>
  </si>
  <si>
    <t>• Measure marketing campaign performance and learner acquisition channels
• Design and evaluate continuous growth A/B experiments
• Model user lifecycle progression from free course enrollment to paid certificate conversion
• Deliver growth insights to product and marketing teams</t>
  </si>
  <si>
    <t>Maximize learner subscription revenue and optimize paid conversion funnels</t>
  </si>
  <si>
    <t>Senior Data Analyst - Security Focus</t>
  </si>
  <si>
    <t>Duolingo</t>
  </si>
  <si>
    <t>Education, Language Learning</t>
  </si>
  <si>
    <t>Pittsburgh, USA</t>
  </si>
  <si>
    <t>Bachelor's Degree (Computer Science, Data Science, or related field)</t>
  </si>
  <si>
    <t>Python, SQL, AWS, Databricks</t>
  </si>
  <si>
    <t>• Analyze security log telemetries and threat vulnerability data across global user platform
• Build real-time security dashboards and anomaly detection models
• Partner with infosec team to conduct data governance audits
• Automate security threat alerting workflows</t>
  </si>
  <si>
    <t>Protect user data privacy and strengthen system security infrastructure against automated threats</t>
  </si>
  <si>
    <t>Tulane University</t>
  </si>
  <si>
    <t>New Orleans, USA</t>
  </si>
  <si>
    <t>Stata, R, SPSS, Excel</t>
  </si>
  <si>
    <t>• Extract and clean multi-year educational program evaluation datasets
• Conduct regression analyses and cohort studies on student learning initiatives
• Draft grant reporting summaries and policy briefs for external stakeholders
• Maintain data compliance and institutional review board (IRB) protocols</t>
  </si>
  <si>
    <t>Evaluate educational program outcomes and secure institutional research grant funding</t>
  </si>
  <si>
    <t>Age of Learning, Inc.</t>
  </si>
  <si>
    <t>Bachelor's Degree (Statistics, Applied Math, Data Science, Economics, Computer Science, or related discipline)</t>
  </si>
  <si>
    <t>SQL, dbt, Looker, Lightdash, Omni, R, Python</t>
  </si>
  <si>
    <t>• Design and analyze A/B tests across desktop and mobile platforms
• Conduct deep-dive exploratory analyses to understand customer behavior and churn
• Build and maintain self-serve BI dashboards
• Apply statistical methods to evaluate product performance</t>
  </si>
  <si>
    <t>Maximize customer retention and subscription conversion for digital early-learning products</t>
  </si>
  <si>
    <t>Senior Data Engineer</t>
  </si>
  <si>
    <t>Snowflake, dbt, AI Tooling</t>
  </si>
  <si>
    <t>• Design and maintain scalable data warehouse architectures on Snowflake
• Implement and manage data transformation pipelines
• Develop and evolve data models and metric definitions across the organization
• Implement data quality observability and testing frameworks</t>
  </si>
  <si>
    <t>Centralize and standardize enterprise data pipelines to power reliable analytics and reporting</t>
  </si>
  <si>
    <t>BI Administrator</t>
  </si>
  <si>
    <t>AcademicJobs.com</t>
  </si>
  <si>
    <t>Tableau Cloud, Power BI, Microsoft Fabric, M365</t>
  </si>
  <si>
    <t>• Administer and maintain enterprise BI platforms
• Troubleshoot production incidents and maintain operational runbooks
• Implement standards for access security and data governance
• Develop technical guidance and support licensing activities</t>
  </si>
  <si>
    <t>Ensure BI platform stability, governance, and seamless cross-institutional data delivery</t>
  </si>
  <si>
    <t>University of Arizona</t>
  </si>
  <si>
    <t>Tucson, USA</t>
  </si>
  <si>
    <t>SQL, Tableau, Power BI, Python, R, Excel</t>
  </si>
  <si>
    <t>• Analyze complex institutional datasets to derive actionable insights
• Build and maintain executive dashboards and visual reports
• Partner with academic leadership on data-driven decision-making
• Perform predictive modeling and data validation checks</t>
  </si>
  <si>
    <t>Improve institutional effectiveness and operational decision-making across university units</t>
  </si>
  <si>
    <t>Senior Investment Data Analyst</t>
  </si>
  <si>
    <t>Colby College</t>
  </si>
  <si>
    <t>Waterville, USA</t>
  </si>
  <si>
    <t>SQL, Python, R, Excel, Power BI, Tableau</t>
  </si>
  <si>
    <t>• Support endowment management
• Build automated portfolio reporting solutions and data management workflows
• Perform investment risk and quantitative portfolio analytics
• Partner with Chief Investment Officer on operational process improvements</t>
  </si>
  <si>
    <t>Optimize endowment portfolio performance and streamline investment reporting workflows</t>
  </si>
  <si>
    <t>Data Analyst II</t>
  </si>
  <si>
    <t>University of Alabama</t>
  </si>
  <si>
    <t>Tuscaloosa, USA</t>
  </si>
  <si>
    <t>Python, R, SQL, Tableau, Power BI, CRM</t>
  </si>
  <si>
    <t>• Define data architecture for consistency in distance learning and non-degree student reporting
• Build dashboards and perform ad-hoc analyses
• Audit and analyze multi-source student datasets to support OTIDE business intelligence</t>
  </si>
  <si>
    <t>Track online/distance learning student pipelines and maintain operational data consistency across departments</t>
  </si>
  <si>
    <t>Sr. Data Analyst</t>
  </si>
  <si>
    <t>Power BI, Tableau, Excel, SQL, Python, R</t>
  </si>
  <si>
    <t>• Build multi-country survey data architecture for the BESAFE initiative
• Translate complex research datasets into policy briefs and interactive dashboards
• Support international clinical framework reporting and accredited CME program analytics</t>
  </si>
  <si>
    <t>Evaluate and track global public health research outcomes on substandard and falsified medicines</t>
  </si>
  <si>
    <t>YCCI Research Applications Data Quality Analyst</t>
  </si>
  <si>
    <t>Yale University</t>
  </si>
  <si>
    <t>New Haven, USA</t>
  </si>
  <si>
    <t>Excel, Epic Research</t>
  </si>
  <si>
    <t>• Conduct regular data audits and validation checks within Yale Clinical Trial Management System
• Develop data quality metrics and dashboards
• Resolve data discrepancies and streamline clinical trial data entry workflows</t>
  </si>
  <si>
    <t>Maintain clinical trial data integrity and regulatory compliance across clinical research operations</t>
  </si>
  <si>
    <t>Sr Digital Analytics Specialist</t>
  </si>
  <si>
    <t>Ascend Learning</t>
  </si>
  <si>
    <t>Gilbert, USA</t>
  </si>
  <si>
    <t>Google Analytics, GA4, Google Tag Manager, Tableau, Power BI, SQL</t>
  </si>
  <si>
    <t>• Manage web and product telemetry implementation for digital learning platforms
• Design web analytics tracking strategies
• Develop conversion funnel dashboards
• Deliver insights on user acquisition and digital customer journeys</t>
  </si>
  <si>
    <t>Optimize digital learning platform user acquisition and conversion funnels through web analytics</t>
  </si>
  <si>
    <t>Sr. Business Intelligence Analyst</t>
  </si>
  <si>
    <t>Leawood, USA</t>
  </si>
  <si>
    <t>Tableau, SQL, Snowflake, SSMS</t>
  </si>
  <si>
    <t>• Develop and optimize modern Tableau dashboards
• Build and optimize data pipelines using Snowflake and SSMS
• Serve as visualization thought leader advising on KPI design and data storytelling
• Coach and mentor BI team members</t>
  </si>
  <si>
    <t>Deliver scalable enterprise BI solutions and data visualisations to drive decision-making</t>
  </si>
  <si>
    <t>Intermediate Analytics Developer</t>
  </si>
  <si>
    <t>Axonify</t>
  </si>
  <si>
    <t>Remote, Brazil</t>
  </si>
  <si>
    <t>Brazil</t>
  </si>
  <si>
    <t>SQL, Python, Tableau, Power BI, dbt</t>
  </si>
  <si>
    <t>• Design and build scalable analytics infrastructure and data models
• Develop automated reports and executive dashboards
• Partner with cross-functional teams to translate business requirements into analytics solutions</t>
  </si>
  <si>
    <t>Streamline data architecture and reporting for frontline learning enablement</t>
  </si>
  <si>
    <t>Brightwheel</t>
  </si>
  <si>
    <t>SQL, dbt, Sigma, Tableau</t>
  </si>
  <si>
    <t>• Build and maintain Education domain data models and pipelines
• Develop BI dashboards in Sigma and Tableau for retention and customer health KPIs
• Own Weekly Business Review (WBR) data pipelines
• Leverage AI workflows to automate reporting</t>
  </si>
  <si>
    <t>Optimize customer retention and GTM growth for early education curriculum subscriptions</t>
  </si>
  <si>
    <t>Business Systems Analyst – Accounts Receivable</t>
  </si>
  <si>
    <t>Covista</t>
  </si>
  <si>
    <t>Ellucian Banner, SQL</t>
  </si>
  <si>
    <t>• Own functional and analytical support of Accounts Receivable module in Ellucian Banner
• Translate business needs into ERP system solutions
• Develop and execute UAT testing and change control documentation</t>
  </si>
  <si>
    <t>Ensure scalability, compliance, and efficiency in accounts receivable and student financial workflows</t>
  </si>
  <si>
    <t>Business Process Analyst</t>
  </si>
  <si>
    <t>Chicago, USA</t>
  </si>
  <si>
    <t>Agile, Process Modeling</t>
  </si>
  <si>
    <t>• Partner with project managers to document and model business processes
• Gather and define cross-functional business requirements
• Facilitate process improvements and agile implementation</t>
  </si>
  <si>
    <t>Optimize operational processes and ensure accurate data support across enterprise projects</t>
  </si>
  <si>
    <t>Senior Marketing and Data Analytics Manager</t>
  </si>
  <si>
    <t>Curriculum Associates</t>
  </si>
  <si>
    <t>Salesforce, Pardot, SQL, Google Analytics, Google Tag Manager, BI Platforms</t>
  </si>
  <si>
    <t>• Own execution of Growth Marketing analytics
• Maintain full-funnel reporting framework across Salesforce and BI platforms
• Partner with Sales Ops and IT to track marketing attribution
• Direct offshore data operations resources</t>
  </si>
  <si>
    <t>Connect marketing campaign activities to pipeline velocity and revenue outcomes across long K-12 sales cycles</t>
  </si>
  <si>
    <t>Bilingual Product Support Analyst (Canadian French)</t>
  </si>
  <si>
    <t>D2L</t>
  </si>
  <si>
    <t>Remote, Canada</t>
  </si>
  <si>
    <t>Canada</t>
  </si>
  <si>
    <t>SQL, Salesforce, Wireshark, Fiddler</t>
  </si>
  <si>
    <t>• Investigate and troubleshoot complex application issues for Canadian French-speaking clients
• Replicate technical defects
• Create knowledge-base articles
• Submit software bug reports</t>
  </si>
  <si>
    <t>Provide high-tier technical support and problem resolution for learning management system users</t>
  </si>
  <si>
    <t>Product Support Analyst</t>
  </si>
  <si>
    <t>• Troubleshoot client-reported software issues
• Conduct root-cause analysis
• Debug SQL queries
• Document support solutions and software defect reports</t>
  </si>
  <si>
    <t>Resolve application incidents and maintain platform operational stability for enterprise and educational clients</t>
  </si>
  <si>
    <t>Docebo</t>
  </si>
  <si>
    <t>SQL, Python, BI Visualization Tools</t>
  </si>
  <si>
    <t>• Transform company-wide data into strategic insights
• Build interactive executive dashboards
• Partner with Product Engineering to ensure data accuracy and reliability</t>
  </si>
  <si>
    <t>Enable data-driven decision-making across enterprise product and business teams</t>
  </si>
  <si>
    <t>Senior Manager, Data Analytics</t>
  </si>
  <si>
    <t>Bachelor's Degree (STEM or Quantitative discipline)</t>
  </si>
  <si>
    <t>Python, SQL, Snowflake</t>
  </si>
  <si>
    <t>• Manage and mentor a team of data analysts
• Support Director of Data in executing analytics strategy
• Partner with Core Data team on BI platforms and data models
• Build relationships with GTM/RevOps/Finance leaders</t>
  </si>
  <si>
    <t>Translate global enterprise data into strategic direction and executive KPIs across North America and EMEA</t>
  </si>
  <si>
    <t>Analyst, Financial Planning &amp; Analysis</t>
  </si>
  <si>
    <t>EAB</t>
  </si>
  <si>
    <t>Washington, D.C., USA</t>
  </si>
  <si>
    <t>SQL</t>
  </si>
  <si>
    <t>• Model and analyze proposed department-level financial goals
• Develop and maintain rapid financial performance reporting infrastructure
• Create department dashboards analyzing cost-revenue, and margin targets.</t>
  </si>
  <si>
    <t>Model financial performance and drive budgeting accuracy across business units for executive stakeholders</t>
  </si>
  <si>
    <t>Product Experience Designer (PXD), Analyst</t>
  </si>
  <si>
    <t>Figma</t>
  </si>
  <si>
    <t>• Build interactive prototypes and narrative-driven product demonstrations.
• Collaborate with Product Management and User Experience teams.
• Translate product strategy into commercial technology concepts.</t>
  </si>
  <si>
    <t>Bridge product strategy and commercial enablement by visualising future-state software capabilities</t>
  </si>
  <si>
    <t>Product Experience Designer (PXD), Senior Analyst</t>
  </si>
  <si>
    <t>• Create high-fidelity interactive prototypes and reusable product experiences
• Participate in product planning and design reviews
• Partner across Engineering and Go-To-Market teams</t>
  </si>
  <si>
    <t>Translate complex product roadmaps into interactive, commercial-ready product prototypes</t>
  </si>
  <si>
    <t>Lecturer - Analytics &amp; Big Data</t>
  </si>
  <si>
    <t>IU International University of Applied Sciences</t>
  </si>
  <si>
    <t>Erfurt, Germany</t>
  </si>
  <si>
    <t>Germany</t>
  </si>
  <si>
    <t>Master's Degree (Data Science, Computer Science, or related field)</t>
  </si>
  <si>
    <t>Big Data, Python, R, SQL, Data Analytics</t>
  </si>
  <si>
    <t>• Deliver online lectures and courses in Analytics and Big Data
• Develop curriculum and course materials
• Grade student assessments and exams
• Provide academic guidance to higher education students</t>
  </si>
  <si>
    <t>Ensure quality online academic instruction and curriculum delivery in big data analytics</t>
  </si>
  <si>
    <t>Head of Data and Analytics</t>
  </si>
  <si>
    <t>Novakid</t>
  </si>
  <si>
    <t>Manager</t>
  </si>
  <si>
    <t>SQL, Python, Tableau, Snowflake, Data Architecture</t>
  </si>
  <si>
    <t>• Lead the global data team and define company-wide data strategy
• Oversee analytics architecture and data warehousing infrastructure
• Partner with C-level executives to drive data-informed decisions
• Optimize student retention and learner lifetime value analytics</t>
  </si>
  <si>
    <t>Scale global data infrastructure to drive learner retention and user acquisition growth</t>
  </si>
  <si>
    <t>Associate Business Operations Analyst</t>
  </si>
  <si>
    <t>PowerSchool</t>
  </si>
  <si>
    <t>SQL, Excel, Salesforce, Power BI / Tableau</t>
  </si>
  <si>
    <t>• Monitor operational metrics
• generate business reports
• support cross-functional sales/marketing processes and maintain data integrity</t>
  </si>
  <si>
    <t>Optimize internal sales operations and operational efficiency for K-12 education software solutions</t>
  </si>
  <si>
    <t>Senior Data Analyst - Marketplace Analytics</t>
  </si>
  <si>
    <t>Preply</t>
  </si>
  <si>
    <t>Barcelona, Spain</t>
  </si>
  <si>
    <t>Spain</t>
  </si>
  <si>
    <t>SQL, Python, Looker, A/B Testing</t>
  </si>
  <si>
    <t>• Produce thorough data analytics on customer behavior and product usage
• run experimentations and optimize marketplace matching mechanisms</t>
  </si>
  <si>
    <t>Enhance tutor-learner matching dynamics and conversion across the global language learning marketplace</t>
  </si>
  <si>
    <t>Staff Data Analyst</t>
  </si>
  <si>
    <t>Lead</t>
  </si>
  <si>
    <t>SQL, Python, Looker, Data Modeling, A/B Testing</t>
  </si>
  <si>
    <t>• Establish company-wide analytics standards
• drive core data models
• and advise senior leadership on strategic product initiatives</t>
  </si>
  <si>
    <t>Drive scalable data architecture and high-level analytical frameworks for product expansion</t>
  </si>
  <si>
    <t>Senior Data Analyst - Expansion</t>
  </si>
  <si>
    <t>SQL, Looker, Tableau, Power BI, Excel</t>
  </si>
  <si>
    <t>• Support the CEO Office with strategic insights
• model scenario projections
• and evaluate new market segments</t>
  </si>
  <si>
    <t>Uncover growth opportunities and model expansion strategies into new markets and business lines</t>
  </si>
  <si>
    <t>Senior Data Analyst - Fraud Prevention</t>
  </si>
  <si>
    <t>SQL, Python, AI Agents/Tools</t>
  </si>
  <si>
    <t>• Own the fraud rule lifecycle
• monitor transaction risks
• design alerting logic
• and forecast chargeback volumes</t>
  </si>
  <si>
    <t>Minimize payment fraud, chargeback exposure, and marketplace abuse</t>
  </si>
  <si>
    <t>Psychometric Data Analyst II</t>
  </si>
  <si>
    <t>Renaissance Learning</t>
  </si>
  <si>
    <t>SQL, NoSQL, MongoDB, Snowflake, SAS, R, Python</t>
  </si>
  <si>
    <t>• Extract data from SQL/NoSQL databases
• perform IRT modeling and reliability analyses
• and validate assessment/scoring logic</t>
  </si>
  <si>
    <t>Ensure validity, scoring accuracy, and statistical integrity of educational assessment tools</t>
  </si>
  <si>
    <t>Senior Partnerships Analyst</t>
  </si>
  <si>
    <t>Risepoint</t>
  </si>
  <si>
    <t>Remote, United Kingdom</t>
  </si>
  <si>
    <t>SQL, Excel, CRM / Data Tools</t>
  </si>
  <si>
    <t>• Analyze partner performance
• audit student records
• and deliver actionable insights across the student lifecycle</t>
  </si>
  <si>
    <t>Optimize university partnership outcomes and drive student lifecycle conversion in online degree programs</t>
  </si>
  <si>
    <t>Senior Analyst, Performance Analytics</t>
  </si>
  <si>
    <t>SQL, Databricks, Excel, Planful, Power BI</t>
  </si>
  <si>
    <t>• Own planning and forecasting data models
• run scenario/sensitivity analyses
• and translate complex metrics into executive narratives</t>
  </si>
  <si>
    <t>Predict financial/operational performance and build reliable forecasting models for executive planning</t>
  </si>
  <si>
    <t>Senior Data &amp; Analytics Specialist</t>
  </si>
  <si>
    <t>K12 Coalition</t>
  </si>
  <si>
    <t>SQL, Power BI, Excel, Data Warehousing</t>
  </si>
  <si>
    <t>• Design dashboards
• consolidate enterprise datasets across platforms
• and provide analytics for K-12 operational stakeholders</t>
  </si>
  <si>
    <t>Centralize fragmented district/school performance data to drive actionable operational decisions</t>
  </si>
  <si>
    <t>Lead Product Analyst</t>
  </si>
  <si>
    <t>Speak</t>
  </si>
  <si>
    <t>Education, EdTech / AI</t>
  </si>
  <si>
    <t>SQL, Python, Amplitude, Looker</t>
  </si>
  <si>
    <t>• Analyze user engagement/retention data
• Conduct A/B test analysis
• Optimize learning pathways for AI language learners</t>
  </si>
  <si>
    <t>Boost user retention, subscription conversion, and product engagement for AI language learning</t>
  </si>
  <si>
    <t>Data Lead</t>
  </si>
  <si>
    <t>Stepful</t>
  </si>
  <si>
    <t>Education, Healthcare Training</t>
  </si>
  <si>
    <t>SQL, Python, dbt, Snowflake, Metabase</t>
  </si>
  <si>
    <t>• Architect end-to-end data pipelines and models
• Partner with operations and clinical teams to optimize student graduation and job placement
• Define key operational metrics</t>
  </si>
  <si>
    <t>Scale data infrastructure and analytics to drive healthcare training student outcomes and job placement rates</t>
  </si>
  <si>
    <t>Education, Online K–12</t>
  </si>
  <si>
    <t>Bachelor's Degree (Data Analytics, Computer Science, Mathematics, Statistics, or related field)</t>
  </si>
  <si>
    <t>DBT, SQL, Python, GitHub</t>
  </si>
  <si>
    <t>• Translate ambiguous business questions into analytic approaches
• Perform ad-hoc analyses for research/business stakeholders
• Extract, transform, and analyze large research datasets using dbt and SQL</t>
  </si>
  <si>
    <t>Drive research-backed educational decisions and evaluate long-term student learning outcomes</t>
  </si>
  <si>
    <t>Bachelor's Degree (Mathematics, Statistics, Economics, or discipline with significant statistics)</t>
  </si>
  <si>
    <t>Python, SQL, CRM, Power BI, Tableau, Excel, Snowflake, Salesforce, DBT</t>
  </si>
  <si>
    <t>• Develop Python analytical workflows for predictive modeling
• Write complex SQL queries combining marketing/CRM/enrollment data
• Build multi-touch attribution and lead scoring models
• Design automated reporting dashboards</t>
  </si>
  <si>
    <t>Optimize marketing campaign performance, website conversion, and student enrollment growth</t>
  </si>
  <si>
    <t>Data Science Analyst</t>
  </si>
  <si>
    <t>Python, R, SQL, Machine Learning</t>
  </si>
  <si>
    <t>• Build and deploy machine learning and predictive statistical models
• Clean and manipulate complex student achievement and operational datasets
• Deliver actionable predictive insights to key stakeholders</t>
  </si>
  <si>
    <t>Drive predictive analytics capabilities to improve student retention and learning performance</t>
  </si>
  <si>
    <t>Thunkable</t>
  </si>
  <si>
    <t>Education, Software Development / No-Code</t>
  </si>
  <si>
    <t>San Francisco, CA</t>
  </si>
  <si>
    <t>SQL, NoSQL, Amplitude, Google Ads, Meta Ads</t>
  </si>
  <si>
    <t>• Build data pipelines
• optimize tracking instrumentation
• run funnels/cohort analyses and create automated dashboards</t>
  </si>
  <si>
    <t>Centralize user and marketing data streams to improve product analytics and decision-making speed</t>
  </si>
  <si>
    <t>Analytics Lead, Japan Partnerships</t>
  </si>
  <si>
    <t>Udemy</t>
  </si>
  <si>
    <t>SQL, Python, Tableau, Databricks</t>
  </si>
  <si>
    <t>• Track partnership performance metrics
• build Tableau/Databricks dashboards
• and deliver regional revenue forecasts</t>
  </si>
  <si>
    <t>Measure and optimize Japan partnership performance, regional GTM efficiency, and revenue expansion</t>
  </si>
  <si>
    <t>Analytics Engineer / アナリティクスエンジニア</t>
  </si>
  <si>
    <t>U-NEXT</t>
  </si>
  <si>
    <t>Media, Streaming, Education</t>
  </si>
  <si>
    <t>Tokyo, Japan</t>
  </si>
  <si>
    <t>Japan</t>
  </si>
  <si>
    <t>SQL, Python, BigQuery, Treasure Data, dbt, Airflow, Digdag, Looker, Looker Studio</t>
  </si>
  <si>
    <t>• Build data warehouses/marts
• maintain Looker dashboards
• write analytical SQL/Python
• and execute ad-hoc analysis</t>
  </si>
  <si>
    <t>Scale modern data infrastructure and data mart modeling to support platform growth</t>
  </si>
  <si>
    <t>Business Analyst</t>
  </si>
  <si>
    <t>Classera</t>
  </si>
  <si>
    <t>Amman, Jordan</t>
  </si>
  <si>
    <t>Jordan</t>
  </si>
  <si>
    <t>Data Analysis Tools, Software Analysis</t>
  </si>
  <si>
    <t>• Collaborate with ministries to elicit, analyze
, and validate requirements
• translate requirements into technical specifications; 
• conduct data analysis and prepare comprehensive reports for stakeholders</t>
  </si>
  <si>
    <t>Bridge communication gaps between IT teams and governmental entities to drive public sector digital initiatives</t>
  </si>
  <si>
    <t>Senior Business Analyst</t>
  </si>
  <si>
    <t>System Analyst - EdTech / Enterprise Platforms</t>
  </si>
  <si>
    <t>Bachelor's Degree (Computer Science, Information Systems, Engineering, or related field)</t>
  </si>
  <si>
    <t>APIs, System Integrations, Databases, Workflows, SQL, Jira, Confluence, Azure DevOps</t>
  </si>
  <si>
    <t>• Gather and document business/system requirements
• translate needs into technical specifications
• support integrations
• and participate in system testing/UAT</t>
  </si>
  <si>
    <t>Scale and optimize enterprise and educational platforms through robust system analysis and seamless integrations</t>
  </si>
  <si>
    <t>Senior Business / System Analyst</t>
  </si>
  <si>
    <t>20/7/2026</t>
  </si>
  <si>
    <t>Bachelor’s degree (Computer Science, Software Engineering, Information Systems, Business Information Technology, or a related field)</t>
  </si>
  <si>
    <t>Integrations, APIs, Data Flows, Multi-system platforms, Jira, Confluence, Azure DevOps, Visio, Draw.io, Figma, Postman, SQL</t>
  </si>
  <si>
    <t>Drive complex digital transformation and education technology projects by bridging business needs and technical execution</t>
  </si>
  <si>
    <t>Data Executive / Data Assistant</t>
  </si>
  <si>
    <t>GEMS Education (GEMS Metropole School - Motor City)</t>
  </si>
  <si>
    <t>Education, K-12 Schooling</t>
  </si>
  <si>
    <t>Dubai, UAE</t>
  </si>
  <si>
    <t>United Arab Emirates</t>
  </si>
  <si>
    <t>Nova-T6, Go4Schools, Power BI, MIS Platforms, Microsoft Office</t>
  </si>
  <si>
    <t>• Support MIS administration (timetable, attendance, exam data)
• build Power BI dashboards
• generate academic/progress reports
• and analyze assessment data for school leadership</t>
  </si>
  <si>
    <t>Provide accurate assessment and operational data to optimize academic planning, school inspections, and student performance tracking</t>
  </si>
  <si>
    <t>Professional Coach and Content Educator</t>
  </si>
  <si>
    <t>Pathstream</t>
  </si>
  <si>
    <t>Data Analytics tools, SQL, Tableau, Excel</t>
  </si>
  <si>
    <t>• Coach students in data analytics programs
• review student projects
• provide constructive feedback
• and facilitate learning engagement</t>
  </si>
  <si>
    <t>Support adult learners in transitioning into data careers and mastering practical technical skills</t>
  </si>
  <si>
    <t>Business Analyst mit Fokus Sales (m/w/d)</t>
  </si>
  <si>
    <t>ubiLearning Solutions GmbH (ubiMaster)</t>
  </si>
  <si>
    <t>München / Pullach im Isartal, Germany (with remote flexibility)</t>
  </si>
  <si>
    <t>Bachelor's / Master's Degree (BWL, IT, Wirtschaftsingenieurwesen)</t>
  </si>
  <si>
    <t>Power BI, Excel, Word, Vibe Coding, AI tools</t>
  </si>
  <si>
    <t>• Manage sales controlling
• optimize sales and quotation processes
• build automated reporting solutions
• and work closely with finance and sales teams</t>
  </si>
  <si>
    <t>Scale sales performance tracking and automate revenue planning operations for digital tutoring solutions</t>
  </si>
  <si>
    <t>Senior Data Scientist, Product Analytics</t>
  </si>
  <si>
    <t>Handshake</t>
  </si>
  <si>
    <t>Education, Career Network, B2B SaaS</t>
  </si>
  <si>
    <t>Salesforce, SQL, Excel, GTM Analytics Tools</t>
  </si>
  <si>
    <t>• Manage go-to-market operational strategies for educational institutions
• optimize sales pipelines
• analyze funnel conversion
• and partner with education leadership</t>
  </si>
  <si>
    <t>Scale go-to-market operations and improve institutional acquisition efficiency across the education network</t>
  </si>
  <si>
    <t>Spatial Data Analyst - AI Trainer</t>
  </si>
  <si>
    <t>San Francisco, CA, USA / New York, NY, USA</t>
  </si>
  <si>
    <t>Bachelor's Degree (Computer Science or related field)</t>
  </si>
  <si>
    <t>Python, Machine Learning frameworks, LLMs, SQL, Cloud infrastructure</t>
  </si>
  <si>
    <t>• Build and scale applied AI features for enterprise users
• integrate large language models into platform workflows
• and collaborate with product and engineering teams</t>
  </si>
  <si>
    <t>Accelerate the delivery of trusted enterprise-grade AI capabilities across the student and employer platform ecosystem</t>
  </si>
  <si>
    <t>Degreed</t>
  </si>
  <si>
    <t>Education, Enterprise Learning Tech</t>
  </si>
  <si>
    <t>SQL, Python, Snowflake, Looker / Tableau</t>
  </si>
  <si>
    <t>• Own enterprise data models
• perform complex product and customer analytics
• partner with executive stakeholders to track learning engagement metrics</t>
  </si>
  <si>
    <t>Centralize enterprise upskilling and learning engagement analytics to drive customer retention and product value realization</t>
  </si>
  <si>
    <t>Specific Degree Required?</t>
  </si>
  <si>
    <t>• Prepare reports
• Analyze student performance,attendance, and behaviour
• Maintain data quality
• Prepare examination reports
• Import/export data
• Support stakeholders"</t>
  </si>
  <si>
    <t>• Gather and analyze educational and operational data
• Monitor student performance, engagement, and attendance trends
• Prepare reports and visual dashboards
• Design metrics and KPIs to evaluate program effectiveness
• Collaborate with educators and project managers to provide actionable recommendations
• Identify data patterns and trends to support strategic initiatives</t>
  </si>
  <si>
    <t>• Build and maintain dashboards for key metrics
• Perform ad-hoc and exploratory analyses
• Analyze student learning gains, session activity, and program performance
• Collaborate with Learning, Operations, Product, and B2C teams
• Define and track KPIs
• Identify AI opportunities for automation and insights
• Maintain scalable and actionable reporting solutions</t>
  </si>
  <si>
    <t>• Collect, clean, and prepare data for analysis
• Develop and maintain data models
• Identify trends and insights to support decision-making
• Generate reports and present findings to stakeholders
• Collaborate with cross-functional teams to optimize operations</t>
  </si>
  <si>
    <t>• Gather and analyze educational and operational data
• Monitor student performance, engagement, and attendance trends
• Prepare reports and visual dashboards
• Design metrics and KPIs to evaluate program effectiveness
• Collaborate with educators and project managers to provide actionable recommendations
• Identify data patterns and trends to support strategic initiatives.</t>
  </si>
  <si>
    <t>• Maintain CAP data systems and operational workflows
• Build and manage dashboards and executive reports
• Conduct data audits and analyze performance trends 
• Coordinate cross-functional projects and stakeholders
• Track timelines and deliverables
• Develop documentation and SOPs
• Support AI-enabled workflow improvements and process automation
• Prepare project plans and status updates</t>
  </si>
  <si>
    <t>• Conduct quality assurance reviews
• Develop and maintain training materials 
• Train new and existing associates
• Prepare performance reports
• Test and implement Epic upgrades
• Analyze credit trends
• Maintain policies and procedures
• Support workflow improvements and team operations</t>
  </si>
  <si>
    <t>• Track enrollment and engagement metrics
• Clean and maintain learner databases
• Merge and reconcile data from multiple sources
• Prepare reports and presentations
• Support surveys and learner feedback analysis
• Manage WhatsApp-based course operations
• Create learning content
• Manage learner community engagement
• Organize webinars and newsletters
• Improve operational processes and documentation</t>
  </si>
  <si>
    <t>• Partner with cross-functional stakeholders across Sales, Customer Success, Product, Operations, and Leadership.
• Build and maintain dashboards reports, and deep-dive analyses
• Develop and optimize SQL queries and data transformations in Snowflake
• Translate business questions into analytical frameworks 
• Conduct exploratory and root-cause analyses
• Maintain metric definitions and documentation
• Ensure data integrity and consistency
• Prioritize data requests
• Identify business trends and opportunities
• Support product analytics and experimentation</t>
  </si>
  <si>
    <t>• Prepare and analyze admissions, enrollment,and student success data
•Manage recurring data files and reports for Institutional Research
•Compile internal and external data for decision-making
•Maintain knowledge of reporting cycles, data governance and FERPA handling</t>
  </si>
  <si>
    <t>• Catalog and integrate institutional data across academic units
• Utilize AI tools (Claude, Copilot) to generate reports and insights for leadership
• Develop AI prompts and workflows for higher education
• Build dashboards and visualizations for non-technical audiences</t>
  </si>
  <si>
    <t>• Own full lifecycle of product data analytics including instrumentation and telemetry setup
• Define metrics, success criteria, and experimentation frameworks with cross-functional teams
• Design tracking strategies and implement analytics tools
• Build and maintain dashboards to translate data into actionable insights</t>
  </si>
  <si>
    <t>• Query large datasets to uncover trends in student engagement
• Build and consolidate executive dashboards
• Translate business needs into technical data requirements
• Partner with data engineers on ETL/pipeline tasks
• Support ad hoc descriptive and statistical analyses</t>
  </si>
  <si>
    <t>• Collaborate with ministries to elicit, analyze, and validate requirements
• translate requirements into technical specifications; 
• conduct data analysis and prepare comprehensive reports for stakeholders</t>
  </si>
  <si>
    <t>• Gather and validate business/system requirements
• prepare BRD/SRS documentation
• map current/future-state processes
• conduct gap analysis
• support system design, review UI/UX wireframes,  coordinate UAT, and manage change requests</t>
  </si>
  <si>
    <t>EdTech</t>
  </si>
  <si>
    <t>Business Objective</t>
  </si>
  <si>
    <t>Student Success &amp; Learning Outcomes</t>
  </si>
  <si>
    <t>Institutional Research &amp; Academic Planning</t>
  </si>
  <si>
    <t>Business Intelligence &amp; Decision Support</t>
  </si>
  <si>
    <t>Product Analytics &amp; Growth</t>
  </si>
  <si>
    <t>Operational Efficiency &amp; Process Improvement</t>
  </si>
  <si>
    <t>Compliance, Quality &amp; Data Integrity</t>
  </si>
  <si>
    <t>Research &amp; Innovation</t>
  </si>
  <si>
    <t>Marketing, Sales &amp; Revenue Growth</t>
  </si>
  <si>
    <t>Data Infrastructure &amp; Engineering</t>
  </si>
  <si>
    <t>Financial Planning &amp; Forecasting</t>
  </si>
  <si>
    <t>Digital Transformation &amp; Technical Enablement</t>
  </si>
  <si>
    <t xml:space="preserve">Digital Transformation &amp; Technical Enablement </t>
  </si>
  <si>
    <t xml:space="preserve">Student Success &amp; Learning Outcomes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</si>
</sst>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AAEC54-79F3-434E-801B-4270F481A5D6}" autoFormatId="16" applyNumberFormats="0" applyBorderFormats="0" applyFontFormats="0" applyPatternFormats="0" applyAlignmentFormats="0" applyWidthHeightFormats="0">
  <queryTableRefresh nextId="22" unboundColumnsRight="1">
    <queryTableFields count="19">
      <queryTableField id="1" name="Job ID" tableColumnId="1"/>
      <queryTableField id="2" name="Job Title" tableColumnId="2"/>
      <queryTableField id="3" name="Company" tableColumnId="3"/>
      <queryTableField id="4" name="Company Type" tableColumnId="4"/>
      <queryTableField id="5" name="Sector" tableColumnId="5"/>
      <queryTableField id="6" name="Location" tableColumnId="6"/>
      <queryTableField id="7" name="Country" tableColumnId="7"/>
      <queryTableField id="8" name="Job_via" tableColumnId="8"/>
      <queryTableField id="9" name="Date posted" tableColumnId="9"/>
      <queryTableField id="10" name="Remote, hybrid, or on-site?" tableColumnId="10"/>
      <queryTableField id="11" name="Employment Type" tableColumnId="11"/>
      <queryTableField id="12" name="Seniority" tableColumnId="12"/>
      <queryTableField id="18" name="Years of experience" tableColumnId="18"/>
      <queryTableField id="20" dataBound="0" tableColumnId="13"/>
      <queryTableField id="14" name="Degree Required" tableColumnId="14"/>
      <queryTableField id="15" name="Technical Skills" tableColumnId="15"/>
      <queryTableField id="16" name="Responsibilities" tableColumnId="16"/>
      <queryTableField id="17" name="Primary Business Problem" tableColumnId="17"/>
      <queryTableField id="21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0D24C-590C-498F-AE0E-A3C5CD7385CD}" name="Final_table" displayName="Final_table" ref="A1:S97" tableType="queryTable" totalsRowShown="0">
  <autoFilter ref="A1:S97" xr:uid="{3774CE0A-BF6E-49BA-A9B0-F0489CB2F0B8}"/>
  <sortState xmlns:xlrd2="http://schemas.microsoft.com/office/spreadsheetml/2017/richdata2" ref="A2:R97">
    <sortCondition ref="A1:A97"/>
  </sortState>
  <tableColumns count="19">
    <tableColumn id="1" xr3:uid="{34B2FBEA-DD79-49EC-9757-5278B54032FF}" uniqueName="1" name="Job ID" queryTableFieldId="1"/>
    <tableColumn id="2" xr3:uid="{14351110-BB9B-42A8-8ABA-4E8A1E85837B}" uniqueName="2" name="Job Title" queryTableFieldId="2" dataDxfId="17"/>
    <tableColumn id="3" xr3:uid="{B4EA7550-4FEF-4001-A027-5C3A1CFAFDA1}" uniqueName="3" name="Company" queryTableFieldId="3" dataDxfId="16"/>
    <tableColumn id="4" xr3:uid="{0C843213-D6B6-494F-8975-B2FBFEB10496}" uniqueName="4" name="Company Type" queryTableFieldId="4" dataDxfId="15"/>
    <tableColumn id="5" xr3:uid="{288A398F-5C41-49C0-AF37-3AB12C565570}" uniqueName="5" name="Sector" queryTableFieldId="5" dataDxfId="14"/>
    <tableColumn id="6" xr3:uid="{E5F105FC-6F17-4CF2-9960-63E91590611F}" uniqueName="6" name="Location" queryTableFieldId="6" dataDxfId="13"/>
    <tableColumn id="7" xr3:uid="{4EA884FD-6954-43F2-860C-E3EE46469151}" uniqueName="7" name="Country" queryTableFieldId="7" dataDxfId="12"/>
    <tableColumn id="8" xr3:uid="{12DCC355-D663-4CA2-944C-059314342754}" uniqueName="8" name="Job_via" queryTableFieldId="8" dataDxfId="11"/>
    <tableColumn id="9" xr3:uid="{6E170CFE-6D10-411F-9A77-BCC8CDDB3906}" uniqueName="9" name="Date posted" queryTableFieldId="9" dataDxfId="10"/>
    <tableColumn id="10" xr3:uid="{FF58E0F5-8E5F-428A-9F71-A34A31C83817}" uniqueName="10" name="Remote, hybrid, or on-site?" queryTableFieldId="10" dataDxfId="9"/>
    <tableColumn id="11" xr3:uid="{C07D0673-221F-449A-BD94-427EEB19BD4C}" uniqueName="11" name="Employment Type" queryTableFieldId="11" dataDxfId="8"/>
    <tableColumn id="12" xr3:uid="{0E328F3F-3B13-4DE1-B339-B7883E449692}" uniqueName="12" name="Seniority" queryTableFieldId="12" dataDxfId="7"/>
    <tableColumn id="18" xr3:uid="{0D802F70-9370-4419-A8D1-6959621C073B}" uniqueName="18" name="Years of experience" queryTableFieldId="18" dataDxfId="6"/>
    <tableColumn id="13" xr3:uid="{4BF78649-9E56-4587-ACCC-D4ED8454DCD8}" uniqueName="13" name="Specific Degree Required?" queryTableFieldId="20" dataDxfId="5">
      <calculatedColumnFormula>NOT(OR(Final_table[[#This Row],[Degree Required]]="Not Specified",Final_table[[#This Row],[Degree Required]]="High School Diploma",Final_table[[#This Row],[Degree Required]]="Bachelor's Degree"))</calculatedColumnFormula>
    </tableColumn>
    <tableColumn id="14" xr3:uid="{1D823520-447A-40EB-808C-DA4E68F0141B}" uniqueName="14" name="Degree Required" queryTableFieldId="14" dataDxfId="4"/>
    <tableColumn id="15" xr3:uid="{2685542D-6726-4259-B201-71AFDDBC2665}" uniqueName="15" name="Technical Skills" queryTableFieldId="15" dataDxfId="3"/>
    <tableColumn id="16" xr3:uid="{8903F864-EA43-400C-BF46-4D183CA42D30}" uniqueName="16" name="Responsibilities" queryTableFieldId="16" dataDxfId="2"/>
    <tableColumn id="17" xr3:uid="{286B4A85-16BA-49D7-8ADA-4681267B1C52}" uniqueName="17" name="Primary Business Problem" queryTableFieldId="17" dataDxfId="1"/>
    <tableColumn id="19" xr3:uid="{C627DF07-6850-4482-ADBF-6220892A09CE}" uniqueName="19" name="Business Objective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ECBC-A333-4A46-8F62-04229251E10A}">
  <dimension ref="A1:W97"/>
  <sheetViews>
    <sheetView tabSelected="1" topLeftCell="P4" zoomScale="86" workbookViewId="0">
      <selection activeCell="Q4" sqref="Q4"/>
    </sheetView>
  </sheetViews>
  <sheetFormatPr defaultRowHeight="14.4" x14ac:dyDescent="0.55000000000000004"/>
  <cols>
    <col min="1" max="1" width="7.7890625" bestFit="1" customWidth="1"/>
    <col min="2" max="2" width="48.734375" bestFit="1" customWidth="1"/>
    <col min="3" max="3" width="37.20703125" customWidth="1"/>
    <col min="4" max="4" width="31.41796875" bestFit="1" customWidth="1"/>
    <col min="5" max="5" width="36.41796875" bestFit="1" customWidth="1"/>
    <col min="6" max="6" width="50.41796875" bestFit="1" customWidth="1"/>
    <col min="7" max="7" width="17.5234375" bestFit="1" customWidth="1"/>
    <col min="8" max="8" width="19.68359375" bestFit="1" customWidth="1"/>
    <col min="9" max="9" width="12.7890625" style="1" bestFit="1" customWidth="1"/>
    <col min="10" max="10" width="25.3125" bestFit="1" customWidth="1"/>
    <col min="11" max="11" width="17.68359375" bestFit="1" customWidth="1"/>
    <col min="12" max="12" width="11.1015625" bestFit="1" customWidth="1"/>
    <col min="13" max="13" width="18.83984375" style="3" bestFit="1" customWidth="1"/>
    <col min="14" max="14" width="24.26171875" bestFit="1" customWidth="1"/>
    <col min="15" max="16" width="80.83984375" bestFit="1" customWidth="1"/>
    <col min="17" max="17" width="93.68359375" style="2" customWidth="1"/>
    <col min="18" max="18" width="80.83984375" customWidth="1"/>
    <col min="19" max="19" width="80.83984375" bestFit="1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568</v>
      </c>
      <c r="O1" t="s">
        <v>13</v>
      </c>
      <c r="P1" t="s">
        <v>14</v>
      </c>
      <c r="Q1" s="2" t="s">
        <v>15</v>
      </c>
      <c r="R1" t="s">
        <v>16</v>
      </c>
      <c r="S1" t="s">
        <v>585</v>
      </c>
    </row>
    <row r="2" spans="1:19" ht="86.4" x14ac:dyDescent="0.55000000000000004">
      <c r="A2">
        <v>1</v>
      </c>
      <c r="B2" t="s">
        <v>17</v>
      </c>
      <c r="C2" t="s">
        <v>18</v>
      </c>
      <c r="D2" t="s">
        <v>31</v>
      </c>
      <c r="E2" t="s">
        <v>19</v>
      </c>
      <c r="F2" t="s">
        <v>20</v>
      </c>
      <c r="G2" t="s">
        <v>20</v>
      </c>
      <c r="H2" t="s">
        <v>21</v>
      </c>
      <c r="I2" s="1">
        <v>44764</v>
      </c>
      <c r="J2" t="s">
        <v>22</v>
      </c>
      <c r="K2" t="s">
        <v>23</v>
      </c>
      <c r="L2" t="s">
        <v>24</v>
      </c>
      <c r="M2" s="3" t="s">
        <v>25</v>
      </c>
      <c r="N2" t="b">
        <f>NOT(OR(Final_table[[#This Row],[Degree Required]]="Not Specified",Final_table[[#This Row],[Degree Required]]="High School Diploma",Final_table[[#This Row],[Degree Required]]="Bachelor's Degree"))</f>
        <v>1</v>
      </c>
      <c r="O2" t="s">
        <v>26</v>
      </c>
      <c r="P2" t="s">
        <v>27</v>
      </c>
      <c r="Q2" s="2" t="s">
        <v>569</v>
      </c>
      <c r="R2" t="s">
        <v>28</v>
      </c>
      <c r="S2" t="s">
        <v>586</v>
      </c>
    </row>
    <row r="3" spans="1:19" ht="86.4" x14ac:dyDescent="0.55000000000000004">
      <c r="A3">
        <v>2</v>
      </c>
      <c r="B3" t="s">
        <v>17</v>
      </c>
      <c r="C3" t="s">
        <v>50</v>
      </c>
      <c r="D3" t="s">
        <v>584</v>
      </c>
      <c r="E3" t="s">
        <v>51</v>
      </c>
      <c r="F3" t="s">
        <v>52</v>
      </c>
      <c r="G3" t="s">
        <v>20</v>
      </c>
      <c r="H3" t="s">
        <v>53</v>
      </c>
      <c r="I3" s="1">
        <v>46044</v>
      </c>
      <c r="J3" t="s">
        <v>54</v>
      </c>
      <c r="K3" t="s">
        <v>23</v>
      </c>
      <c r="L3" t="s">
        <v>55</v>
      </c>
      <c r="M3" s="3" t="s">
        <v>25</v>
      </c>
      <c r="N3" t="b">
        <f>NOT(OR(Final_table[[#This Row],[Degree Required]]="Not Specified",Final_table[[#This Row],[Degree Required]]="High School Diploma",Final_table[[#This Row],[Degree Required]]="Bachelor's Degree"))</f>
        <v>1</v>
      </c>
      <c r="O3" t="s">
        <v>56</v>
      </c>
      <c r="P3" t="s">
        <v>57</v>
      </c>
      <c r="Q3" s="2" t="s">
        <v>570</v>
      </c>
      <c r="R3" t="s">
        <v>58</v>
      </c>
      <c r="S3" t="s">
        <v>586</v>
      </c>
    </row>
    <row r="4" spans="1:19" ht="100.8" x14ac:dyDescent="0.55000000000000004">
      <c r="A4">
        <v>3</v>
      </c>
      <c r="B4" t="s">
        <v>17</v>
      </c>
      <c r="C4" t="s">
        <v>80</v>
      </c>
      <c r="D4" t="s">
        <v>584</v>
      </c>
      <c r="E4" t="s">
        <v>51</v>
      </c>
      <c r="F4" t="s">
        <v>20</v>
      </c>
      <c r="G4" t="s">
        <v>20</v>
      </c>
      <c r="H4" t="s">
        <v>53</v>
      </c>
      <c r="I4" s="1">
        <v>45952</v>
      </c>
      <c r="J4" t="s">
        <v>54</v>
      </c>
      <c r="K4" t="s">
        <v>36</v>
      </c>
      <c r="L4" t="s">
        <v>36</v>
      </c>
      <c r="M4" s="3" t="s">
        <v>81</v>
      </c>
      <c r="N4" t="b">
        <f>NOT(OR(Final_table[[#This Row],[Degree Required]]="Not Specified",Final_table[[#This Row],[Degree Required]]="High School Diploma",Final_table[[#This Row],[Degree Required]]="Bachelor's Degree"))</f>
        <v>0</v>
      </c>
      <c r="O4" t="s">
        <v>36</v>
      </c>
      <c r="P4" t="s">
        <v>82</v>
      </c>
      <c r="Q4" s="2" t="s">
        <v>571</v>
      </c>
      <c r="R4" t="s">
        <v>83</v>
      </c>
      <c r="S4" t="s">
        <v>586</v>
      </c>
    </row>
    <row r="5" spans="1:19" ht="115.2" x14ac:dyDescent="0.55000000000000004">
      <c r="A5">
        <v>4</v>
      </c>
      <c r="B5" t="s">
        <v>84</v>
      </c>
      <c r="C5" t="s">
        <v>85</v>
      </c>
      <c r="D5" t="s">
        <v>70</v>
      </c>
      <c r="E5" t="s">
        <v>71</v>
      </c>
      <c r="F5" t="s">
        <v>86</v>
      </c>
      <c r="G5" t="s">
        <v>20</v>
      </c>
      <c r="H5" t="s">
        <v>53</v>
      </c>
      <c r="I5" s="1">
        <v>45860</v>
      </c>
      <c r="J5" t="s">
        <v>22</v>
      </c>
      <c r="K5" t="s">
        <v>23</v>
      </c>
      <c r="L5" t="s">
        <v>36</v>
      </c>
      <c r="M5" s="3" t="s">
        <v>81</v>
      </c>
      <c r="N5" t="b">
        <f>NOT(OR(Final_table[[#This Row],[Degree Required]]="Not Specified",Final_table[[#This Row],[Degree Required]]="High School Diploma",Final_table[[#This Row],[Degree Required]]="Bachelor's Degree"))</f>
        <v>1</v>
      </c>
      <c r="O5" t="s">
        <v>87</v>
      </c>
      <c r="P5" t="s">
        <v>88</v>
      </c>
      <c r="Q5" s="2" t="s">
        <v>89</v>
      </c>
      <c r="R5" t="s">
        <v>90</v>
      </c>
      <c r="S5" t="s">
        <v>587</v>
      </c>
    </row>
    <row r="6" spans="1:19" ht="72" x14ac:dyDescent="0.55000000000000004">
      <c r="A6">
        <v>5</v>
      </c>
      <c r="B6" t="s">
        <v>102</v>
      </c>
      <c r="C6" t="s">
        <v>103</v>
      </c>
      <c r="D6" t="s">
        <v>70</v>
      </c>
      <c r="E6" t="s">
        <v>71</v>
      </c>
      <c r="F6" t="s">
        <v>104</v>
      </c>
      <c r="G6" t="s">
        <v>20</v>
      </c>
      <c r="H6" t="s">
        <v>53</v>
      </c>
      <c r="I6" s="1">
        <v>46134</v>
      </c>
      <c r="J6" t="s">
        <v>22</v>
      </c>
      <c r="K6" t="s">
        <v>105</v>
      </c>
      <c r="L6" t="s">
        <v>36</v>
      </c>
      <c r="M6" s="3" t="s">
        <v>106</v>
      </c>
      <c r="N6" t="b">
        <f>NOT(OR(Final_table[[#This Row],[Degree Required]]="Not Specified",Final_table[[#This Row],[Degree Required]]="High School Diploma",Final_table[[#This Row],[Degree Required]]="Bachelor's Degree"))</f>
        <v>1</v>
      </c>
      <c r="O6" t="s">
        <v>107</v>
      </c>
      <c r="P6" t="s">
        <v>108</v>
      </c>
      <c r="Q6" s="2" t="s">
        <v>572</v>
      </c>
      <c r="R6" t="s">
        <v>109</v>
      </c>
      <c r="S6" t="s">
        <v>587</v>
      </c>
    </row>
    <row r="7" spans="1:19" ht="100.8" x14ac:dyDescent="0.55000000000000004">
      <c r="A7">
        <v>6</v>
      </c>
      <c r="B7" t="s">
        <v>59</v>
      </c>
      <c r="C7" t="s">
        <v>60</v>
      </c>
      <c r="D7" t="s">
        <v>61</v>
      </c>
      <c r="E7" t="s">
        <v>19</v>
      </c>
      <c r="F7" t="s">
        <v>20</v>
      </c>
      <c r="G7" t="s">
        <v>20</v>
      </c>
      <c r="H7" t="s">
        <v>62</v>
      </c>
      <c r="I7" s="1">
        <v>46015</v>
      </c>
      <c r="J7" t="s">
        <v>36</v>
      </c>
      <c r="K7" t="s">
        <v>23</v>
      </c>
      <c r="L7" t="s">
        <v>36</v>
      </c>
      <c r="M7" s="3" t="s">
        <v>25</v>
      </c>
      <c r="N7" t="b">
        <f>NOT(OR(Final_table[[#This Row],[Degree Required]]="Not Specified",Final_table[[#This Row],[Degree Required]]="High School Diploma",Final_table[[#This Row],[Degree Required]]="Bachelor's Degree"))</f>
        <v>1</v>
      </c>
      <c r="O7" t="s">
        <v>63</v>
      </c>
      <c r="P7" t="s">
        <v>64</v>
      </c>
      <c r="Q7" s="2" t="s">
        <v>65</v>
      </c>
      <c r="R7" t="s">
        <v>66</v>
      </c>
      <c r="S7" t="s">
        <v>587</v>
      </c>
    </row>
    <row r="8" spans="1:19" ht="129.6" x14ac:dyDescent="0.55000000000000004">
      <c r="A8">
        <v>7</v>
      </c>
      <c r="B8" t="s">
        <v>130</v>
      </c>
      <c r="C8" t="s">
        <v>131</v>
      </c>
      <c r="D8" t="s">
        <v>132</v>
      </c>
      <c r="E8" t="s">
        <v>19</v>
      </c>
      <c r="F8" t="s">
        <v>133</v>
      </c>
      <c r="G8" t="s">
        <v>20</v>
      </c>
      <c r="H8" t="s">
        <v>53</v>
      </c>
      <c r="I8" s="1">
        <v>46134</v>
      </c>
      <c r="J8" t="s">
        <v>22</v>
      </c>
      <c r="K8" t="s">
        <v>23</v>
      </c>
      <c r="L8" t="s">
        <v>36</v>
      </c>
      <c r="M8" s="3" t="s">
        <v>25</v>
      </c>
      <c r="N8" t="b">
        <f>NOT(OR(Final_table[[#This Row],[Degree Required]]="Not Specified",Final_table[[#This Row],[Degree Required]]="High School Diploma",Final_table[[#This Row],[Degree Required]]="Bachelor's Degree"))</f>
        <v>1</v>
      </c>
      <c r="O8" t="s">
        <v>134</v>
      </c>
      <c r="P8" t="s">
        <v>135</v>
      </c>
      <c r="Q8" s="2" t="s">
        <v>136</v>
      </c>
      <c r="R8" t="s">
        <v>137</v>
      </c>
      <c r="S8" t="s">
        <v>586</v>
      </c>
    </row>
    <row r="9" spans="1:19" ht="115.2" x14ac:dyDescent="0.55000000000000004">
      <c r="A9">
        <v>8</v>
      </c>
      <c r="B9" t="s">
        <v>110</v>
      </c>
      <c r="C9" t="s">
        <v>111</v>
      </c>
      <c r="D9" t="s">
        <v>584</v>
      </c>
      <c r="E9" t="s">
        <v>51</v>
      </c>
      <c r="F9" t="s">
        <v>112</v>
      </c>
      <c r="G9" t="s">
        <v>113</v>
      </c>
      <c r="H9" t="s">
        <v>35</v>
      </c>
      <c r="J9" t="s">
        <v>54</v>
      </c>
      <c r="K9" t="s">
        <v>23</v>
      </c>
      <c r="L9" t="s">
        <v>55</v>
      </c>
      <c r="M9" s="3" t="s">
        <v>106</v>
      </c>
      <c r="N9" t="b">
        <f>NOT(OR(Final_table[[#This Row],[Degree Required]]="Not Specified",Final_table[[#This Row],[Degree Required]]="High School Diploma",Final_table[[#This Row],[Degree Required]]="Bachelor's Degree"))</f>
        <v>0</v>
      </c>
      <c r="O9" t="s">
        <v>36</v>
      </c>
      <c r="P9" t="s">
        <v>114</v>
      </c>
      <c r="Q9" s="2" t="s">
        <v>115</v>
      </c>
      <c r="R9" t="s">
        <v>116</v>
      </c>
      <c r="S9" t="s">
        <v>588</v>
      </c>
    </row>
    <row r="10" spans="1:19" ht="144" x14ac:dyDescent="0.55000000000000004">
      <c r="A10">
        <v>9</v>
      </c>
      <c r="B10" t="s">
        <v>123</v>
      </c>
      <c r="C10" t="s">
        <v>111</v>
      </c>
      <c r="D10" t="s">
        <v>584</v>
      </c>
      <c r="E10" t="s">
        <v>51</v>
      </c>
      <c r="F10" t="s">
        <v>124</v>
      </c>
      <c r="G10" t="s">
        <v>125</v>
      </c>
      <c r="H10" t="s">
        <v>35</v>
      </c>
      <c r="J10" t="s">
        <v>22</v>
      </c>
      <c r="K10" t="s">
        <v>23</v>
      </c>
      <c r="L10" t="s">
        <v>36</v>
      </c>
      <c r="M10" s="3" t="s">
        <v>81</v>
      </c>
      <c r="N10" t="b">
        <f>NOT(OR(Final_table[[#This Row],[Degree Required]]="Not Specified",Final_table[[#This Row],[Degree Required]]="High School Diploma",Final_table[[#This Row],[Degree Required]]="Bachelor's Degree"))</f>
        <v>1</v>
      </c>
      <c r="O10" t="s">
        <v>126</v>
      </c>
      <c r="P10" t="s">
        <v>127</v>
      </c>
      <c r="Q10" s="2" t="s">
        <v>128</v>
      </c>
      <c r="R10" t="s">
        <v>129</v>
      </c>
      <c r="S10" t="s">
        <v>586</v>
      </c>
    </row>
    <row r="11" spans="1:19" ht="86.4" x14ac:dyDescent="0.55000000000000004">
      <c r="A11">
        <v>10</v>
      </c>
      <c r="B11" t="s">
        <v>17</v>
      </c>
      <c r="C11" t="s">
        <v>50</v>
      </c>
      <c r="D11" t="s">
        <v>584</v>
      </c>
      <c r="E11" t="s">
        <v>51</v>
      </c>
      <c r="F11" t="s">
        <v>52</v>
      </c>
      <c r="G11" t="s">
        <v>20</v>
      </c>
      <c r="H11" t="s">
        <v>53</v>
      </c>
      <c r="J11" t="s">
        <v>54</v>
      </c>
      <c r="K11" t="s">
        <v>23</v>
      </c>
      <c r="L11" t="s">
        <v>36</v>
      </c>
      <c r="M11" s="3" t="s">
        <v>25</v>
      </c>
      <c r="N11" t="b">
        <f>NOT(OR(Final_table[[#This Row],[Degree Required]]="Not Specified",Final_table[[#This Row],[Degree Required]]="High School Diploma",Final_table[[#This Row],[Degree Required]]="Bachelor's Degree"))</f>
        <v>1</v>
      </c>
      <c r="O11" t="s">
        <v>56</v>
      </c>
      <c r="P11" t="s">
        <v>57</v>
      </c>
      <c r="Q11" s="2" t="s">
        <v>573</v>
      </c>
      <c r="R11" t="s">
        <v>67</v>
      </c>
      <c r="S11" t="s">
        <v>586</v>
      </c>
    </row>
    <row r="12" spans="1:19" ht="115.2" x14ac:dyDescent="0.55000000000000004">
      <c r="A12">
        <v>11</v>
      </c>
      <c r="B12" t="s">
        <v>144</v>
      </c>
      <c r="C12" t="s">
        <v>145</v>
      </c>
      <c r="D12" t="s">
        <v>42</v>
      </c>
      <c r="E12" t="s">
        <v>51</v>
      </c>
      <c r="F12" t="s">
        <v>146</v>
      </c>
      <c r="G12" t="s">
        <v>147</v>
      </c>
      <c r="H12" t="s">
        <v>35</v>
      </c>
      <c r="J12" t="s">
        <v>74</v>
      </c>
      <c r="K12" t="s">
        <v>148</v>
      </c>
      <c r="L12" t="s">
        <v>55</v>
      </c>
      <c r="M12" s="3" t="s">
        <v>25</v>
      </c>
      <c r="N12" t="b">
        <f>NOT(OR(Final_table[[#This Row],[Degree Required]]="Not Specified",Final_table[[#This Row],[Degree Required]]="High School Diploma",Final_table[[#This Row],[Degree Required]]="Bachelor's Degree"))</f>
        <v>0</v>
      </c>
      <c r="O12" t="s">
        <v>36</v>
      </c>
      <c r="P12" t="s">
        <v>149</v>
      </c>
      <c r="Q12" s="2" t="s">
        <v>150</v>
      </c>
      <c r="R12" t="s">
        <v>151</v>
      </c>
      <c r="S12" t="s">
        <v>588</v>
      </c>
    </row>
    <row r="13" spans="1:19" ht="86.4" x14ac:dyDescent="0.55000000000000004">
      <c r="A13">
        <v>12</v>
      </c>
      <c r="B13" t="s">
        <v>152</v>
      </c>
      <c r="C13" t="s">
        <v>153</v>
      </c>
      <c r="D13" t="s">
        <v>584</v>
      </c>
      <c r="E13" t="s">
        <v>51</v>
      </c>
      <c r="F13" t="s">
        <v>34</v>
      </c>
      <c r="G13" t="s">
        <v>34</v>
      </c>
      <c r="H13" t="s">
        <v>53</v>
      </c>
      <c r="J13" t="s">
        <v>74</v>
      </c>
      <c r="K13" t="s">
        <v>23</v>
      </c>
      <c r="L13" t="s">
        <v>55</v>
      </c>
      <c r="M13" s="3" t="s">
        <v>25</v>
      </c>
      <c r="N13" t="b">
        <f>NOT(OR(Final_table[[#This Row],[Degree Required]]="Not Specified",Final_table[[#This Row],[Degree Required]]="High School Diploma",Final_table[[#This Row],[Degree Required]]="Bachelor's Degree"))</f>
        <v>0</v>
      </c>
      <c r="O13" t="s">
        <v>36</v>
      </c>
      <c r="P13" t="s">
        <v>154</v>
      </c>
      <c r="Q13" s="2" t="s">
        <v>155</v>
      </c>
      <c r="R13" t="s">
        <v>156</v>
      </c>
      <c r="S13" t="s">
        <v>586</v>
      </c>
    </row>
    <row r="14" spans="1:19" ht="100.8" x14ac:dyDescent="0.55000000000000004">
      <c r="A14">
        <v>13</v>
      </c>
      <c r="B14" t="s">
        <v>168</v>
      </c>
      <c r="C14" t="s">
        <v>169</v>
      </c>
      <c r="D14" t="s">
        <v>584</v>
      </c>
      <c r="E14" t="s">
        <v>51</v>
      </c>
      <c r="F14" t="s">
        <v>140</v>
      </c>
      <c r="G14" t="s">
        <v>34</v>
      </c>
      <c r="H14" t="s">
        <v>35</v>
      </c>
      <c r="J14" t="s">
        <v>74</v>
      </c>
      <c r="K14" t="s">
        <v>23</v>
      </c>
      <c r="L14" t="s">
        <v>55</v>
      </c>
      <c r="M14" s="3" t="s">
        <v>170</v>
      </c>
      <c r="N14" t="b">
        <f>NOT(OR(Final_table[[#This Row],[Degree Required]]="Not Specified",Final_table[[#This Row],[Degree Required]]="High School Diploma",Final_table[[#This Row],[Degree Required]]="Bachelor's Degree"))</f>
        <v>1</v>
      </c>
      <c r="O14" t="s">
        <v>171</v>
      </c>
      <c r="P14" t="s">
        <v>172</v>
      </c>
      <c r="Q14" s="2" t="s">
        <v>173</v>
      </c>
      <c r="R14" t="s">
        <v>174</v>
      </c>
      <c r="S14" t="s">
        <v>589</v>
      </c>
    </row>
    <row r="15" spans="1:19" ht="115.2" x14ac:dyDescent="0.55000000000000004">
      <c r="A15">
        <v>14</v>
      </c>
      <c r="B15" t="s">
        <v>17</v>
      </c>
      <c r="C15" t="s">
        <v>138</v>
      </c>
      <c r="D15" t="s">
        <v>42</v>
      </c>
      <c r="E15" t="s">
        <v>139</v>
      </c>
      <c r="F15" t="s">
        <v>140</v>
      </c>
      <c r="G15" t="s">
        <v>34</v>
      </c>
      <c r="H15" t="s">
        <v>35</v>
      </c>
      <c r="J15" t="s">
        <v>74</v>
      </c>
      <c r="K15" t="s">
        <v>23</v>
      </c>
      <c r="L15" t="s">
        <v>36</v>
      </c>
      <c r="M15" s="3" t="s">
        <v>81</v>
      </c>
      <c r="N15" t="b">
        <f>NOT(OR(Final_table[[#This Row],[Degree Required]]="Not Specified",Final_table[[#This Row],[Degree Required]]="High School Diploma",Final_table[[#This Row],[Degree Required]]="Bachelor's Degree"))</f>
        <v>0</v>
      </c>
      <c r="O15" t="s">
        <v>37</v>
      </c>
      <c r="P15" t="s">
        <v>141</v>
      </c>
      <c r="Q15" s="2" t="s">
        <v>142</v>
      </c>
      <c r="R15" t="s">
        <v>143</v>
      </c>
      <c r="S15" t="s">
        <v>590</v>
      </c>
    </row>
    <row r="16" spans="1:19" ht="115.2" x14ac:dyDescent="0.55000000000000004">
      <c r="A16">
        <v>15</v>
      </c>
      <c r="B16" t="s">
        <v>29</v>
      </c>
      <c r="C16" t="s">
        <v>30</v>
      </c>
      <c r="D16" t="s">
        <v>31</v>
      </c>
      <c r="E16" t="s">
        <v>32</v>
      </c>
      <c r="F16" t="s">
        <v>33</v>
      </c>
      <c r="G16" t="s">
        <v>34</v>
      </c>
      <c r="H16" t="s">
        <v>35</v>
      </c>
      <c r="J16" t="s">
        <v>22</v>
      </c>
      <c r="K16" t="s">
        <v>23</v>
      </c>
      <c r="L16" t="s">
        <v>36</v>
      </c>
      <c r="M16" s="3" t="s">
        <v>25</v>
      </c>
      <c r="N16" t="b">
        <f>NOT(OR(Final_table[[#This Row],[Degree Required]]="Not Specified",Final_table[[#This Row],[Degree Required]]="High School Diploma",Final_table[[#This Row],[Degree Required]]="Bachelor's Degree"))</f>
        <v>0</v>
      </c>
      <c r="O16" t="s">
        <v>37</v>
      </c>
      <c r="P16" t="s">
        <v>38</v>
      </c>
      <c r="Q16" s="2" t="s">
        <v>574</v>
      </c>
      <c r="R16" t="s">
        <v>39</v>
      </c>
      <c r="S16" t="s">
        <v>587</v>
      </c>
    </row>
    <row r="17" spans="1:19" ht="144" x14ac:dyDescent="0.55000000000000004">
      <c r="A17">
        <v>16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35</v>
      </c>
      <c r="J17" t="s">
        <v>22</v>
      </c>
      <c r="K17" t="s">
        <v>46</v>
      </c>
      <c r="L17" t="s">
        <v>36</v>
      </c>
      <c r="M17" s="3" t="s">
        <v>47</v>
      </c>
      <c r="N17" t="b">
        <f>NOT(OR(Final_table[[#This Row],[Degree Required]]="Not Specified",Final_table[[#This Row],[Degree Required]]="High School Diploma",Final_table[[#This Row],[Degree Required]]="Bachelor's Degree"))</f>
        <v>0</v>
      </c>
      <c r="O17" t="s">
        <v>36</v>
      </c>
      <c r="P17" t="s">
        <v>48</v>
      </c>
      <c r="Q17" s="2" t="s">
        <v>576</v>
      </c>
      <c r="R17" t="s">
        <v>49</v>
      </c>
      <c r="S17" t="s">
        <v>586</v>
      </c>
    </row>
    <row r="18" spans="1:19" ht="115.2" x14ac:dyDescent="0.55000000000000004">
      <c r="A18">
        <v>17</v>
      </c>
      <c r="B18" t="s">
        <v>185</v>
      </c>
      <c r="C18" t="s">
        <v>186</v>
      </c>
      <c r="D18" t="s">
        <v>42</v>
      </c>
      <c r="E18" t="s">
        <v>187</v>
      </c>
      <c r="F18" t="s">
        <v>188</v>
      </c>
      <c r="G18" t="s">
        <v>34</v>
      </c>
      <c r="H18" t="s">
        <v>53</v>
      </c>
      <c r="I18" s="1">
        <v>46205</v>
      </c>
      <c r="J18" t="s">
        <v>74</v>
      </c>
      <c r="K18" t="s">
        <v>23</v>
      </c>
      <c r="L18" t="s">
        <v>36</v>
      </c>
      <c r="M18" s="3" t="s">
        <v>170</v>
      </c>
      <c r="N18" t="b">
        <f>NOT(OR(Final_table[[#This Row],[Degree Required]]="Not Specified",Final_table[[#This Row],[Degree Required]]="High School Diploma",Final_table[[#This Row],[Degree Required]]="Bachelor's Degree"))</f>
        <v>0</v>
      </c>
      <c r="O18" t="s">
        <v>189</v>
      </c>
      <c r="P18" t="s">
        <v>190</v>
      </c>
      <c r="Q18" s="2" t="s">
        <v>575</v>
      </c>
      <c r="R18" t="s">
        <v>191</v>
      </c>
      <c r="S18" t="s">
        <v>590</v>
      </c>
    </row>
    <row r="19" spans="1:19" ht="144" x14ac:dyDescent="0.55000000000000004">
      <c r="A19">
        <v>18</v>
      </c>
      <c r="B19" t="s">
        <v>180</v>
      </c>
      <c r="C19" t="s">
        <v>181</v>
      </c>
      <c r="D19" t="s">
        <v>584</v>
      </c>
      <c r="E19" t="s">
        <v>51</v>
      </c>
      <c r="F19" t="s">
        <v>140</v>
      </c>
      <c r="G19" t="s">
        <v>34</v>
      </c>
      <c r="H19" t="s">
        <v>182</v>
      </c>
      <c r="I19" s="1">
        <v>46044</v>
      </c>
      <c r="J19" t="s">
        <v>74</v>
      </c>
      <c r="K19" t="s">
        <v>148</v>
      </c>
      <c r="L19" t="s">
        <v>55</v>
      </c>
      <c r="M19" s="3" t="s">
        <v>25</v>
      </c>
      <c r="N19" t="b">
        <f>NOT(OR(Final_table[[#This Row],[Degree Required]]="Not Specified",Final_table[[#This Row],[Degree Required]]="High School Diploma",Final_table[[#This Row],[Degree Required]]="Bachelor's Degree"))</f>
        <v>0</v>
      </c>
      <c r="O19" t="s">
        <v>36</v>
      </c>
      <c r="P19" t="s">
        <v>183</v>
      </c>
      <c r="Q19" s="2" t="s">
        <v>577</v>
      </c>
      <c r="R19" t="s">
        <v>184</v>
      </c>
      <c r="S19" t="s">
        <v>588</v>
      </c>
    </row>
    <row r="20" spans="1:19" ht="86.4" x14ac:dyDescent="0.55000000000000004">
      <c r="A20">
        <v>19</v>
      </c>
      <c r="B20" t="s">
        <v>17</v>
      </c>
      <c r="C20" t="s">
        <v>192</v>
      </c>
      <c r="D20" t="s">
        <v>70</v>
      </c>
      <c r="E20" t="s">
        <v>71</v>
      </c>
      <c r="F20" t="s">
        <v>193</v>
      </c>
      <c r="G20" t="s">
        <v>34</v>
      </c>
      <c r="H20" t="s">
        <v>35</v>
      </c>
      <c r="J20" t="s">
        <v>22</v>
      </c>
      <c r="K20" t="s">
        <v>105</v>
      </c>
      <c r="L20" t="s">
        <v>24</v>
      </c>
      <c r="M20" s="3" t="s">
        <v>170</v>
      </c>
      <c r="N20" t="b">
        <f>NOT(OR(Final_table[[#This Row],[Degree Required]]="Not Specified",Final_table[[#This Row],[Degree Required]]="High School Diploma",Final_table[[#This Row],[Degree Required]]="Bachelor's Degree"))</f>
        <v>0</v>
      </c>
      <c r="O20" t="s">
        <v>37</v>
      </c>
      <c r="P20" t="s">
        <v>194</v>
      </c>
      <c r="Q20" s="2" t="s">
        <v>195</v>
      </c>
      <c r="R20" t="s">
        <v>196</v>
      </c>
      <c r="S20" t="s">
        <v>588</v>
      </c>
    </row>
    <row r="21" spans="1:19" ht="57.6" x14ac:dyDescent="0.55000000000000004">
      <c r="A21">
        <v>20</v>
      </c>
      <c r="B21" t="s">
        <v>96</v>
      </c>
      <c r="C21" t="s">
        <v>97</v>
      </c>
      <c r="D21" t="s">
        <v>70</v>
      </c>
      <c r="E21" t="s">
        <v>71</v>
      </c>
      <c r="F21" t="s">
        <v>98</v>
      </c>
      <c r="G21" t="s">
        <v>34</v>
      </c>
      <c r="H21" t="s">
        <v>73</v>
      </c>
      <c r="I21" s="1">
        <v>46225</v>
      </c>
      <c r="J21" t="s">
        <v>54</v>
      </c>
      <c r="K21" t="s">
        <v>23</v>
      </c>
      <c r="L21" t="s">
        <v>75</v>
      </c>
      <c r="M21" s="3" t="s">
        <v>81</v>
      </c>
      <c r="N21" t="b">
        <f>NOT(OR(Final_table[[#This Row],[Degree Required]]="Not Specified",Final_table[[#This Row],[Degree Required]]="High School Diploma",Final_table[[#This Row],[Degree Required]]="Bachelor's Degree"))</f>
        <v>1</v>
      </c>
      <c r="O21" t="s">
        <v>99</v>
      </c>
      <c r="P21" t="s">
        <v>100</v>
      </c>
      <c r="Q21" s="2" t="s">
        <v>578</v>
      </c>
      <c r="R21" t="s">
        <v>101</v>
      </c>
      <c r="S21" t="s">
        <v>587</v>
      </c>
    </row>
    <row r="22" spans="1:19" ht="57.6" x14ac:dyDescent="0.55000000000000004">
      <c r="A22">
        <v>21</v>
      </c>
      <c r="B22" t="s">
        <v>175</v>
      </c>
      <c r="C22" t="s">
        <v>176</v>
      </c>
      <c r="D22" t="s">
        <v>70</v>
      </c>
      <c r="E22" t="s">
        <v>71</v>
      </c>
      <c r="F22" t="s">
        <v>177</v>
      </c>
      <c r="G22" t="s">
        <v>34</v>
      </c>
      <c r="H22" t="s">
        <v>73</v>
      </c>
      <c r="I22" s="1">
        <v>46224</v>
      </c>
      <c r="J22" t="s">
        <v>22</v>
      </c>
      <c r="K22" t="s">
        <v>23</v>
      </c>
      <c r="L22" t="s">
        <v>24</v>
      </c>
      <c r="M22" s="3" t="s">
        <v>25</v>
      </c>
      <c r="N22" t="b">
        <f>NOT(OR(Final_table[[#This Row],[Degree Required]]="Not Specified",Final_table[[#This Row],[Degree Required]]="High School Diploma",Final_table[[#This Row],[Degree Required]]="Bachelor's Degree"))</f>
        <v>0</v>
      </c>
      <c r="O22" t="s">
        <v>37</v>
      </c>
      <c r="P22" t="s">
        <v>178</v>
      </c>
      <c r="Q22" s="2" t="s">
        <v>579</v>
      </c>
      <c r="R22" t="s">
        <v>179</v>
      </c>
      <c r="S22" t="s">
        <v>587</v>
      </c>
    </row>
    <row r="23" spans="1:19" ht="57.6" x14ac:dyDescent="0.55000000000000004">
      <c r="A23">
        <v>22</v>
      </c>
      <c r="B23" t="s">
        <v>197</v>
      </c>
      <c r="C23" t="s">
        <v>198</v>
      </c>
      <c r="D23" t="s">
        <v>70</v>
      </c>
      <c r="E23" t="s">
        <v>71</v>
      </c>
      <c r="F23" t="s">
        <v>159</v>
      </c>
      <c r="G23" t="s">
        <v>34</v>
      </c>
      <c r="H23" t="s">
        <v>73</v>
      </c>
      <c r="I23" s="1">
        <v>46225</v>
      </c>
      <c r="J23" t="s">
        <v>36</v>
      </c>
      <c r="K23" t="s">
        <v>23</v>
      </c>
      <c r="L23" t="s">
        <v>55</v>
      </c>
      <c r="M23" s="3" t="s">
        <v>170</v>
      </c>
      <c r="N23" t="b">
        <f>NOT(OR(Final_table[[#This Row],[Degree Required]]="Not Specified",Final_table[[#This Row],[Degree Required]]="High School Diploma",Final_table[[#This Row],[Degree Required]]="Bachelor's Degree"))</f>
        <v>1</v>
      </c>
      <c r="O23" t="s">
        <v>199</v>
      </c>
      <c r="P23" t="s">
        <v>200</v>
      </c>
      <c r="Q23" s="2" t="s">
        <v>580</v>
      </c>
      <c r="R23" t="s">
        <v>201</v>
      </c>
      <c r="S23" t="s">
        <v>589</v>
      </c>
    </row>
    <row r="24" spans="1:19" ht="72" x14ac:dyDescent="0.55000000000000004">
      <c r="A24">
        <v>23</v>
      </c>
      <c r="B24" t="s">
        <v>17</v>
      </c>
      <c r="C24" t="s">
        <v>91</v>
      </c>
      <c r="D24" t="s">
        <v>31</v>
      </c>
      <c r="E24" t="s">
        <v>71</v>
      </c>
      <c r="F24" t="s">
        <v>92</v>
      </c>
      <c r="G24" t="s">
        <v>34</v>
      </c>
      <c r="H24" t="s">
        <v>73</v>
      </c>
      <c r="I24" s="1">
        <v>46223</v>
      </c>
      <c r="J24" t="s">
        <v>22</v>
      </c>
      <c r="K24" t="s">
        <v>23</v>
      </c>
      <c r="L24" t="s">
        <v>24</v>
      </c>
      <c r="M24" s="3" t="s">
        <v>81</v>
      </c>
      <c r="N24" t="b">
        <f>NOT(OR(Final_table[[#This Row],[Degree Required]]="Not Specified",Final_table[[#This Row],[Degree Required]]="High School Diploma",Final_table[[#This Row],[Degree Required]]="Bachelor's Degree"))</f>
        <v>0</v>
      </c>
      <c r="O24" t="s">
        <v>37</v>
      </c>
      <c r="P24" t="s">
        <v>93</v>
      </c>
      <c r="Q24" s="2" t="s">
        <v>94</v>
      </c>
      <c r="R24" t="s">
        <v>95</v>
      </c>
      <c r="S24" t="s">
        <v>591</v>
      </c>
    </row>
    <row r="25" spans="1:19" ht="72" x14ac:dyDescent="0.55000000000000004">
      <c r="A25">
        <v>24</v>
      </c>
      <c r="B25" t="s">
        <v>68</v>
      </c>
      <c r="C25" t="s">
        <v>69</v>
      </c>
      <c r="D25" t="s">
        <v>70</v>
      </c>
      <c r="E25" t="s">
        <v>71</v>
      </c>
      <c r="F25" t="s">
        <v>72</v>
      </c>
      <c r="G25" t="s">
        <v>34</v>
      </c>
      <c r="H25" t="s">
        <v>73</v>
      </c>
      <c r="I25" s="1">
        <v>46223</v>
      </c>
      <c r="J25" t="s">
        <v>74</v>
      </c>
      <c r="K25" t="s">
        <v>23</v>
      </c>
      <c r="L25" t="s">
        <v>75</v>
      </c>
      <c r="M25" s="3" t="s">
        <v>76</v>
      </c>
      <c r="N25" t="b">
        <f>NOT(OR(Final_table[[#This Row],[Degree Required]]="Not Specified",Final_table[[#This Row],[Degree Required]]="High School Diploma",Final_table[[#This Row],[Degree Required]]="Bachelor's Degree"))</f>
        <v>0</v>
      </c>
      <c r="O25" t="s">
        <v>37</v>
      </c>
      <c r="P25" t="s">
        <v>77</v>
      </c>
      <c r="Q25" s="2" t="s">
        <v>78</v>
      </c>
      <c r="R25" t="s">
        <v>79</v>
      </c>
      <c r="S25" t="s">
        <v>588</v>
      </c>
    </row>
    <row r="26" spans="1:19" ht="57.6" x14ac:dyDescent="0.55000000000000004">
      <c r="A26">
        <v>25</v>
      </c>
      <c r="B26" t="s">
        <v>17</v>
      </c>
      <c r="C26" t="s">
        <v>117</v>
      </c>
      <c r="D26" t="s">
        <v>31</v>
      </c>
      <c r="E26" t="s">
        <v>71</v>
      </c>
      <c r="F26" t="s">
        <v>118</v>
      </c>
      <c r="G26" t="s">
        <v>34</v>
      </c>
      <c r="H26" t="s">
        <v>73</v>
      </c>
      <c r="I26" s="1">
        <v>46223</v>
      </c>
      <c r="J26" t="s">
        <v>22</v>
      </c>
      <c r="K26" t="s">
        <v>46</v>
      </c>
      <c r="L26" t="s">
        <v>24</v>
      </c>
      <c r="M26" s="3" t="s">
        <v>106</v>
      </c>
      <c r="N26" t="b">
        <f>NOT(OR(Final_table[[#This Row],[Degree Required]]="Not Specified",Final_table[[#This Row],[Degree Required]]="High School Diploma",Final_table[[#This Row],[Degree Required]]="Bachelor's Degree"))</f>
        <v>1</v>
      </c>
      <c r="O26" t="s">
        <v>119</v>
      </c>
      <c r="P26" t="s">
        <v>120</v>
      </c>
      <c r="Q26" s="2" t="s">
        <v>121</v>
      </c>
      <c r="R26" t="s">
        <v>122</v>
      </c>
      <c r="S26" t="s">
        <v>587</v>
      </c>
    </row>
    <row r="27" spans="1:19" ht="72" x14ac:dyDescent="0.55000000000000004">
      <c r="A27">
        <v>26</v>
      </c>
      <c r="B27" t="s">
        <v>157</v>
      </c>
      <c r="C27" t="s">
        <v>158</v>
      </c>
      <c r="D27" t="s">
        <v>70</v>
      </c>
      <c r="E27" t="s">
        <v>71</v>
      </c>
      <c r="F27" t="s">
        <v>159</v>
      </c>
      <c r="G27" t="s">
        <v>34</v>
      </c>
      <c r="H27" t="s">
        <v>73</v>
      </c>
      <c r="I27" s="1">
        <v>46226</v>
      </c>
      <c r="J27" t="s">
        <v>22</v>
      </c>
      <c r="K27" t="s">
        <v>23</v>
      </c>
      <c r="L27" t="s">
        <v>24</v>
      </c>
      <c r="M27" s="3" t="s">
        <v>25</v>
      </c>
      <c r="N27" t="b">
        <f>NOT(OR(Final_table[[#This Row],[Degree Required]]="Not Specified",Final_table[[#This Row],[Degree Required]]="High School Diploma",Final_table[[#This Row],[Degree Required]]="Bachelor's Degree"))</f>
        <v>0</v>
      </c>
      <c r="O27" t="s">
        <v>37</v>
      </c>
      <c r="P27" t="s">
        <v>160</v>
      </c>
      <c r="Q27" s="2" t="s">
        <v>581</v>
      </c>
      <c r="R27" t="s">
        <v>161</v>
      </c>
      <c r="S27" t="s">
        <v>586</v>
      </c>
    </row>
    <row r="28" spans="1:19" ht="72" x14ac:dyDescent="0.55000000000000004">
      <c r="A28">
        <v>27</v>
      </c>
      <c r="B28" t="s">
        <v>202</v>
      </c>
      <c r="C28" t="s">
        <v>203</v>
      </c>
      <c r="D28" t="s">
        <v>70</v>
      </c>
      <c r="E28" t="s">
        <v>71</v>
      </c>
      <c r="F28" t="s">
        <v>204</v>
      </c>
      <c r="G28" t="s">
        <v>34</v>
      </c>
      <c r="H28" t="s">
        <v>73</v>
      </c>
      <c r="I28" s="1">
        <v>46223</v>
      </c>
      <c r="J28" t="s">
        <v>22</v>
      </c>
      <c r="K28" t="s">
        <v>23</v>
      </c>
      <c r="L28" t="s">
        <v>24</v>
      </c>
      <c r="M28" s="3" t="s">
        <v>170</v>
      </c>
      <c r="N28" t="b">
        <f>NOT(OR(Final_table[[#This Row],[Degree Required]]="Not Specified",Final_table[[#This Row],[Degree Required]]="High School Diploma",Final_table[[#This Row],[Degree Required]]="Bachelor's Degree"))</f>
        <v>0</v>
      </c>
      <c r="O28" t="s">
        <v>37</v>
      </c>
      <c r="P28" t="s">
        <v>205</v>
      </c>
      <c r="Q28" s="2" t="s">
        <v>206</v>
      </c>
      <c r="R28" t="s">
        <v>207</v>
      </c>
      <c r="S28" t="s">
        <v>587</v>
      </c>
    </row>
    <row r="29" spans="1:19" ht="72" x14ac:dyDescent="0.55000000000000004">
      <c r="A29">
        <v>28</v>
      </c>
      <c r="B29" t="s">
        <v>162</v>
      </c>
      <c r="C29" t="s">
        <v>163</v>
      </c>
      <c r="D29" t="s">
        <v>70</v>
      </c>
      <c r="E29" t="s">
        <v>71</v>
      </c>
      <c r="F29" t="s">
        <v>164</v>
      </c>
      <c r="G29" t="s">
        <v>34</v>
      </c>
      <c r="H29" t="s">
        <v>73</v>
      </c>
      <c r="I29" s="1">
        <v>46220</v>
      </c>
      <c r="J29" t="s">
        <v>22</v>
      </c>
      <c r="K29" t="s">
        <v>23</v>
      </c>
      <c r="L29" t="s">
        <v>75</v>
      </c>
      <c r="M29" s="3" t="s">
        <v>25</v>
      </c>
      <c r="N29" t="b">
        <f>NOT(OR(Final_table[[#This Row],[Degree Required]]="Not Specified",Final_table[[#This Row],[Degree Required]]="High School Diploma",Final_table[[#This Row],[Degree Required]]="Bachelor's Degree"))</f>
        <v>0</v>
      </c>
      <c r="O29" t="s">
        <v>37</v>
      </c>
      <c r="P29" t="s">
        <v>165</v>
      </c>
      <c r="Q29" s="2" t="s">
        <v>166</v>
      </c>
      <c r="R29" t="s">
        <v>167</v>
      </c>
      <c r="S29" t="s">
        <v>590</v>
      </c>
    </row>
    <row r="30" spans="1:19" ht="57.6" x14ac:dyDescent="0.55000000000000004">
      <c r="A30">
        <v>29</v>
      </c>
      <c r="B30" t="s">
        <v>208</v>
      </c>
      <c r="C30" t="s">
        <v>209</v>
      </c>
      <c r="D30" t="s">
        <v>70</v>
      </c>
      <c r="E30" t="s">
        <v>71</v>
      </c>
      <c r="F30" t="s">
        <v>210</v>
      </c>
      <c r="G30" t="s">
        <v>34</v>
      </c>
      <c r="H30" t="s">
        <v>73</v>
      </c>
      <c r="I30" s="1">
        <v>46218</v>
      </c>
      <c r="J30" t="s">
        <v>22</v>
      </c>
      <c r="K30" t="s">
        <v>23</v>
      </c>
      <c r="L30" t="s">
        <v>24</v>
      </c>
      <c r="M30" s="3" t="s">
        <v>25</v>
      </c>
      <c r="N30" t="b">
        <f>NOT(OR(Final_table[[#This Row],[Degree Required]]="Not Specified",Final_table[[#This Row],[Degree Required]]="High School Diploma",Final_table[[#This Row],[Degree Required]]="Bachelor's Degree"))</f>
        <v>0</v>
      </c>
      <c r="O30" t="s">
        <v>37</v>
      </c>
      <c r="P30" t="s">
        <v>211</v>
      </c>
      <c r="Q30" s="2" t="s">
        <v>212</v>
      </c>
      <c r="R30" t="s">
        <v>213</v>
      </c>
      <c r="S30" t="s">
        <v>592</v>
      </c>
    </row>
    <row r="31" spans="1:19" ht="57.6" x14ac:dyDescent="0.55000000000000004">
      <c r="A31">
        <v>30</v>
      </c>
      <c r="B31" t="s">
        <v>144</v>
      </c>
      <c r="C31" t="s">
        <v>214</v>
      </c>
      <c r="D31" t="s">
        <v>584</v>
      </c>
      <c r="E31" t="s">
        <v>51</v>
      </c>
      <c r="F31" t="s">
        <v>215</v>
      </c>
      <c r="G31" t="s">
        <v>34</v>
      </c>
      <c r="H31" t="s">
        <v>73</v>
      </c>
      <c r="I31" s="1">
        <v>46226</v>
      </c>
      <c r="J31" t="s">
        <v>74</v>
      </c>
      <c r="K31" t="s">
        <v>23</v>
      </c>
      <c r="L31" t="s">
        <v>55</v>
      </c>
      <c r="M31" s="3" t="s">
        <v>216</v>
      </c>
      <c r="N31" t="b">
        <f>NOT(OR(Final_table[[#This Row],[Degree Required]]="Not Specified",Final_table[[#This Row],[Degree Required]]="High School Diploma",Final_table[[#This Row],[Degree Required]]="Bachelor's Degree"))</f>
        <v>1</v>
      </c>
      <c r="O31" t="s">
        <v>217</v>
      </c>
      <c r="P31" t="s">
        <v>218</v>
      </c>
      <c r="Q31" s="2" t="s">
        <v>219</v>
      </c>
      <c r="R31" t="s">
        <v>220</v>
      </c>
      <c r="S31" t="s">
        <v>589</v>
      </c>
    </row>
    <row r="32" spans="1:19" ht="72" x14ac:dyDescent="0.55000000000000004">
      <c r="A32">
        <v>31</v>
      </c>
      <c r="B32" t="s">
        <v>221</v>
      </c>
      <c r="C32" t="s">
        <v>222</v>
      </c>
      <c r="D32" t="s">
        <v>70</v>
      </c>
      <c r="E32" t="s">
        <v>71</v>
      </c>
      <c r="F32" t="s">
        <v>223</v>
      </c>
      <c r="G32" t="s">
        <v>34</v>
      </c>
      <c r="H32" t="s">
        <v>73</v>
      </c>
      <c r="I32" s="1">
        <v>46211</v>
      </c>
      <c r="J32" t="s">
        <v>22</v>
      </c>
      <c r="K32" t="s">
        <v>23</v>
      </c>
      <c r="L32" t="s">
        <v>24</v>
      </c>
      <c r="M32" s="3" t="s">
        <v>81</v>
      </c>
      <c r="N32" t="b">
        <f>NOT(OR(Final_table[[#This Row],[Degree Required]]="Not Specified",Final_table[[#This Row],[Degree Required]]="High School Diploma",Final_table[[#This Row],[Degree Required]]="Bachelor's Degree"))</f>
        <v>0</v>
      </c>
      <c r="O32" t="s">
        <v>37</v>
      </c>
      <c r="P32" t="s">
        <v>224</v>
      </c>
      <c r="Q32" s="2" t="s">
        <v>225</v>
      </c>
      <c r="R32" t="s">
        <v>226</v>
      </c>
      <c r="S32" t="s">
        <v>591</v>
      </c>
    </row>
    <row r="33" spans="1:19" ht="72" x14ac:dyDescent="0.55000000000000004">
      <c r="A33">
        <v>32</v>
      </c>
      <c r="B33" t="s">
        <v>227</v>
      </c>
      <c r="C33" t="s">
        <v>228</v>
      </c>
      <c r="D33" t="s">
        <v>70</v>
      </c>
      <c r="E33" t="s">
        <v>71</v>
      </c>
      <c r="F33" t="s">
        <v>229</v>
      </c>
      <c r="G33" t="s">
        <v>34</v>
      </c>
      <c r="H33" t="s">
        <v>73</v>
      </c>
      <c r="I33" s="1">
        <v>46212</v>
      </c>
      <c r="J33" t="s">
        <v>22</v>
      </c>
      <c r="K33" t="s">
        <v>23</v>
      </c>
      <c r="L33" t="s">
        <v>24</v>
      </c>
      <c r="M33" s="3" t="s">
        <v>81</v>
      </c>
      <c r="N33" t="b">
        <f>NOT(OR(Final_table[[#This Row],[Degree Required]]="Not Specified",Final_table[[#This Row],[Degree Required]]="High School Diploma",Final_table[[#This Row],[Degree Required]]="Bachelor's Degree"))</f>
        <v>0</v>
      </c>
      <c r="O33" t="s">
        <v>37</v>
      </c>
      <c r="P33" t="s">
        <v>230</v>
      </c>
      <c r="Q33" s="2" t="s">
        <v>231</v>
      </c>
      <c r="R33" t="s">
        <v>232</v>
      </c>
      <c r="S33" t="s">
        <v>591</v>
      </c>
    </row>
    <row r="34" spans="1:19" ht="57.6" x14ac:dyDescent="0.55000000000000004">
      <c r="A34">
        <v>33</v>
      </c>
      <c r="B34" t="s">
        <v>68</v>
      </c>
      <c r="C34" t="s">
        <v>69</v>
      </c>
      <c r="D34" t="s">
        <v>70</v>
      </c>
      <c r="E34" t="s">
        <v>71</v>
      </c>
      <c r="F34" t="s">
        <v>72</v>
      </c>
      <c r="G34" t="s">
        <v>34</v>
      </c>
      <c r="H34" t="s">
        <v>73</v>
      </c>
      <c r="I34" s="1">
        <v>46212</v>
      </c>
      <c r="J34" t="s">
        <v>74</v>
      </c>
      <c r="K34" t="s">
        <v>23</v>
      </c>
      <c r="L34" t="s">
        <v>75</v>
      </c>
      <c r="M34" s="3" t="s">
        <v>76</v>
      </c>
      <c r="N34" t="b">
        <f>NOT(OR(Final_table[[#This Row],[Degree Required]]="Not Specified",Final_table[[#This Row],[Degree Required]]="High School Diploma",Final_table[[#This Row],[Degree Required]]="Bachelor's Degree"))</f>
        <v>0</v>
      </c>
      <c r="O34" t="s">
        <v>37</v>
      </c>
      <c r="P34" t="s">
        <v>77</v>
      </c>
      <c r="Q34" s="2" t="s">
        <v>233</v>
      </c>
      <c r="R34" t="s">
        <v>234</v>
      </c>
      <c r="S34" t="s">
        <v>590</v>
      </c>
    </row>
    <row r="35" spans="1:19" ht="72" x14ac:dyDescent="0.55000000000000004">
      <c r="A35">
        <v>34</v>
      </c>
      <c r="B35" t="s">
        <v>208</v>
      </c>
      <c r="C35" t="s">
        <v>235</v>
      </c>
      <c r="D35" t="s">
        <v>70</v>
      </c>
      <c r="E35" t="s">
        <v>71</v>
      </c>
      <c r="F35" t="s">
        <v>236</v>
      </c>
      <c r="G35" t="s">
        <v>34</v>
      </c>
      <c r="H35" t="s">
        <v>73</v>
      </c>
      <c r="I35" s="1">
        <v>46211</v>
      </c>
      <c r="J35" t="s">
        <v>22</v>
      </c>
      <c r="K35" t="s">
        <v>23</v>
      </c>
      <c r="L35" t="s">
        <v>24</v>
      </c>
      <c r="M35" s="3" t="s">
        <v>25</v>
      </c>
      <c r="N35" t="b">
        <f>NOT(OR(Final_table[[#This Row],[Degree Required]]="Not Specified",Final_table[[#This Row],[Degree Required]]="High School Diploma",Final_table[[#This Row],[Degree Required]]="Bachelor's Degree"))</f>
        <v>1</v>
      </c>
      <c r="O35" t="s">
        <v>237</v>
      </c>
      <c r="P35" t="s">
        <v>238</v>
      </c>
      <c r="Q35" s="2" t="s">
        <v>239</v>
      </c>
      <c r="R35" t="s">
        <v>240</v>
      </c>
      <c r="S35" t="s">
        <v>592</v>
      </c>
    </row>
    <row r="36" spans="1:19" ht="57.6" x14ac:dyDescent="0.55000000000000004">
      <c r="A36">
        <v>35</v>
      </c>
      <c r="B36" t="s">
        <v>144</v>
      </c>
      <c r="C36" t="s">
        <v>241</v>
      </c>
      <c r="D36" t="s">
        <v>584</v>
      </c>
      <c r="E36" t="s">
        <v>51</v>
      </c>
      <c r="F36" t="s">
        <v>242</v>
      </c>
      <c r="G36" t="s">
        <v>34</v>
      </c>
      <c r="H36" t="s">
        <v>73</v>
      </c>
      <c r="I36" s="1">
        <v>46211</v>
      </c>
      <c r="J36" t="s">
        <v>74</v>
      </c>
      <c r="K36" t="s">
        <v>23</v>
      </c>
      <c r="L36" t="s">
        <v>55</v>
      </c>
      <c r="M36" s="3" t="s">
        <v>170</v>
      </c>
      <c r="N36" t="b">
        <f>NOT(OR(Final_table[[#This Row],[Degree Required]]="Not Specified",Final_table[[#This Row],[Degree Required]]="High School Diploma",Final_table[[#This Row],[Degree Required]]="Bachelor's Degree"))</f>
        <v>0</v>
      </c>
      <c r="O36" t="s">
        <v>37</v>
      </c>
      <c r="P36" t="s">
        <v>243</v>
      </c>
      <c r="Q36" s="2" t="s">
        <v>244</v>
      </c>
      <c r="R36" t="s">
        <v>245</v>
      </c>
      <c r="S36" t="s">
        <v>589</v>
      </c>
    </row>
    <row r="37" spans="1:19" ht="57.6" x14ac:dyDescent="0.55000000000000004">
      <c r="A37">
        <v>36</v>
      </c>
      <c r="B37" t="s">
        <v>144</v>
      </c>
      <c r="C37" t="s">
        <v>246</v>
      </c>
      <c r="D37" t="s">
        <v>70</v>
      </c>
      <c r="E37" t="s">
        <v>71</v>
      </c>
      <c r="F37" t="s">
        <v>247</v>
      </c>
      <c r="G37" t="s">
        <v>34</v>
      </c>
      <c r="H37" t="s">
        <v>73</v>
      </c>
      <c r="I37" s="1">
        <v>46223</v>
      </c>
      <c r="J37" t="s">
        <v>22</v>
      </c>
      <c r="K37" t="s">
        <v>23</v>
      </c>
      <c r="L37" t="s">
        <v>55</v>
      </c>
      <c r="M37" s="3" t="s">
        <v>170</v>
      </c>
      <c r="N37" t="b">
        <f>NOT(OR(Final_table[[#This Row],[Degree Required]]="Not Specified",Final_table[[#This Row],[Degree Required]]="High School Diploma",Final_table[[#This Row],[Degree Required]]="Bachelor's Degree"))</f>
        <v>0</v>
      </c>
      <c r="O37" t="s">
        <v>37</v>
      </c>
      <c r="P37" t="s">
        <v>248</v>
      </c>
      <c r="Q37" s="2" t="s">
        <v>249</v>
      </c>
      <c r="R37" t="s">
        <v>250</v>
      </c>
      <c r="S37" t="s">
        <v>586</v>
      </c>
    </row>
    <row r="38" spans="1:19" ht="57.6" x14ac:dyDescent="0.55000000000000004">
      <c r="A38">
        <v>37</v>
      </c>
      <c r="B38" t="s">
        <v>251</v>
      </c>
      <c r="C38" t="s">
        <v>252</v>
      </c>
      <c r="D38" t="s">
        <v>70</v>
      </c>
      <c r="E38" t="s">
        <v>71</v>
      </c>
      <c r="F38" t="s">
        <v>247</v>
      </c>
      <c r="G38" t="s">
        <v>34</v>
      </c>
      <c r="H38" t="s">
        <v>73</v>
      </c>
      <c r="I38" s="1">
        <v>46221</v>
      </c>
      <c r="J38" t="s">
        <v>54</v>
      </c>
      <c r="K38" t="s">
        <v>23</v>
      </c>
      <c r="L38" t="s">
        <v>24</v>
      </c>
      <c r="M38" s="3" t="s">
        <v>25</v>
      </c>
      <c r="N38" t="b">
        <f>NOT(OR(Final_table[[#This Row],[Degree Required]]="Not Specified",Final_table[[#This Row],[Degree Required]]="High School Diploma",Final_table[[#This Row],[Degree Required]]="Bachelor's Degree"))</f>
        <v>0</v>
      </c>
      <c r="O38" t="s">
        <v>37</v>
      </c>
      <c r="P38" t="s">
        <v>253</v>
      </c>
      <c r="Q38" s="2" t="s">
        <v>254</v>
      </c>
      <c r="R38" t="s">
        <v>255</v>
      </c>
      <c r="S38" t="s">
        <v>588</v>
      </c>
    </row>
    <row r="39" spans="1:19" ht="57.6" x14ac:dyDescent="0.55000000000000004">
      <c r="A39">
        <v>38</v>
      </c>
      <c r="B39" t="s">
        <v>251</v>
      </c>
      <c r="C39" t="s">
        <v>256</v>
      </c>
      <c r="D39" t="s">
        <v>70</v>
      </c>
      <c r="E39" t="s">
        <v>71</v>
      </c>
      <c r="F39" t="s">
        <v>257</v>
      </c>
      <c r="G39" t="s">
        <v>34</v>
      </c>
      <c r="H39" t="s">
        <v>73</v>
      </c>
      <c r="I39" s="1">
        <v>46171</v>
      </c>
      <c r="J39" t="s">
        <v>22</v>
      </c>
      <c r="K39" t="s">
        <v>23</v>
      </c>
      <c r="L39" t="s">
        <v>24</v>
      </c>
      <c r="M39" s="3" t="s">
        <v>25</v>
      </c>
      <c r="N39" t="b">
        <f>NOT(OR(Final_table[[#This Row],[Degree Required]]="Not Specified",Final_table[[#This Row],[Degree Required]]="High School Diploma",Final_table[[#This Row],[Degree Required]]="Bachelor's Degree"))</f>
        <v>0</v>
      </c>
      <c r="O39" t="s">
        <v>37</v>
      </c>
      <c r="P39" t="s">
        <v>258</v>
      </c>
      <c r="Q39" s="2" t="s">
        <v>259</v>
      </c>
      <c r="R39" t="s">
        <v>260</v>
      </c>
      <c r="S39" t="s">
        <v>587</v>
      </c>
    </row>
    <row r="40" spans="1:19" ht="57.6" x14ac:dyDescent="0.55000000000000004">
      <c r="A40">
        <v>39</v>
      </c>
      <c r="B40" t="s">
        <v>208</v>
      </c>
      <c r="C40" t="s">
        <v>261</v>
      </c>
      <c r="D40" t="s">
        <v>70</v>
      </c>
      <c r="E40" t="s">
        <v>71</v>
      </c>
      <c r="F40" t="s">
        <v>159</v>
      </c>
      <c r="G40" t="s">
        <v>34</v>
      </c>
      <c r="H40" t="s">
        <v>73</v>
      </c>
      <c r="I40" s="1">
        <v>46203</v>
      </c>
      <c r="J40" t="s">
        <v>54</v>
      </c>
      <c r="K40" t="s">
        <v>23</v>
      </c>
      <c r="L40" t="s">
        <v>24</v>
      </c>
      <c r="M40" s="3" t="s">
        <v>25</v>
      </c>
      <c r="N40" t="b">
        <f>NOT(OR(Final_table[[#This Row],[Degree Required]]="Not Specified",Final_table[[#This Row],[Degree Required]]="High School Diploma",Final_table[[#This Row],[Degree Required]]="Bachelor's Degree"))</f>
        <v>1</v>
      </c>
      <c r="O40" t="s">
        <v>262</v>
      </c>
      <c r="P40" t="s">
        <v>263</v>
      </c>
      <c r="Q40" s="2" t="s">
        <v>264</v>
      </c>
      <c r="R40" t="s">
        <v>265</v>
      </c>
      <c r="S40" t="s">
        <v>591</v>
      </c>
    </row>
    <row r="41" spans="1:19" ht="72" x14ac:dyDescent="0.55000000000000004">
      <c r="A41">
        <v>40</v>
      </c>
      <c r="B41" t="s">
        <v>266</v>
      </c>
      <c r="C41" t="s">
        <v>267</v>
      </c>
      <c r="D41" t="s">
        <v>584</v>
      </c>
      <c r="E41" t="s">
        <v>51</v>
      </c>
      <c r="F41" t="s">
        <v>242</v>
      </c>
      <c r="G41" t="s">
        <v>34</v>
      </c>
      <c r="H41" t="s">
        <v>73</v>
      </c>
      <c r="I41" s="1">
        <v>46224</v>
      </c>
      <c r="J41" t="s">
        <v>74</v>
      </c>
      <c r="K41" t="s">
        <v>23</v>
      </c>
      <c r="L41" t="s">
        <v>55</v>
      </c>
      <c r="M41" s="3" t="s">
        <v>170</v>
      </c>
      <c r="N41" t="b">
        <f>NOT(OR(Final_table[[#This Row],[Degree Required]]="Not Specified",Final_table[[#This Row],[Degree Required]]="High School Diploma",Final_table[[#This Row],[Degree Required]]="Bachelor's Degree"))</f>
        <v>0</v>
      </c>
      <c r="O41" t="s">
        <v>37</v>
      </c>
      <c r="P41" t="s">
        <v>268</v>
      </c>
      <c r="Q41" s="2" t="s">
        <v>269</v>
      </c>
      <c r="R41" t="s">
        <v>270</v>
      </c>
      <c r="S41" t="s">
        <v>589</v>
      </c>
    </row>
    <row r="42" spans="1:19" ht="57.6" x14ac:dyDescent="0.55000000000000004">
      <c r="A42">
        <v>41</v>
      </c>
      <c r="B42" t="s">
        <v>271</v>
      </c>
      <c r="C42" t="s">
        <v>272</v>
      </c>
      <c r="D42" t="s">
        <v>584</v>
      </c>
      <c r="E42" t="s">
        <v>51</v>
      </c>
      <c r="F42" t="s">
        <v>273</v>
      </c>
      <c r="G42" t="s">
        <v>34</v>
      </c>
      <c r="H42" t="s">
        <v>73</v>
      </c>
      <c r="I42" s="1">
        <v>46225</v>
      </c>
      <c r="J42" t="s">
        <v>54</v>
      </c>
      <c r="K42" t="s">
        <v>23</v>
      </c>
      <c r="L42" t="s">
        <v>24</v>
      </c>
      <c r="M42" s="3" t="s">
        <v>25</v>
      </c>
      <c r="N42" t="b">
        <f>NOT(OR(Final_table[[#This Row],[Degree Required]]="Not Specified",Final_table[[#This Row],[Degree Required]]="High School Diploma",Final_table[[#This Row],[Degree Required]]="Bachelor's Degree"))</f>
        <v>0</v>
      </c>
      <c r="O42" t="s">
        <v>37</v>
      </c>
      <c r="P42" t="s">
        <v>274</v>
      </c>
      <c r="Q42" s="2" t="s">
        <v>275</v>
      </c>
      <c r="R42" t="s">
        <v>276</v>
      </c>
      <c r="S42" t="s">
        <v>593</v>
      </c>
    </row>
    <row r="43" spans="1:19" ht="57.6" x14ac:dyDescent="0.55000000000000004">
      <c r="A43">
        <v>42</v>
      </c>
      <c r="B43" t="s">
        <v>251</v>
      </c>
      <c r="C43" t="s">
        <v>277</v>
      </c>
      <c r="D43" t="s">
        <v>584</v>
      </c>
      <c r="E43" t="s">
        <v>51</v>
      </c>
      <c r="F43" t="s">
        <v>242</v>
      </c>
      <c r="G43" t="s">
        <v>34</v>
      </c>
      <c r="H43" t="s">
        <v>73</v>
      </c>
      <c r="I43" s="1">
        <v>46224</v>
      </c>
      <c r="J43" t="s">
        <v>74</v>
      </c>
      <c r="K43" t="s">
        <v>23</v>
      </c>
      <c r="L43" t="s">
        <v>24</v>
      </c>
      <c r="M43" s="3" t="s">
        <v>25</v>
      </c>
      <c r="N43" t="b">
        <f>NOT(OR(Final_table[[#This Row],[Degree Required]]="Not Specified",Final_table[[#This Row],[Degree Required]]="High School Diploma",Final_table[[#This Row],[Degree Required]]="Bachelor's Degree"))</f>
        <v>0</v>
      </c>
      <c r="O43" t="s">
        <v>37</v>
      </c>
      <c r="P43" t="s">
        <v>278</v>
      </c>
      <c r="Q43" s="2" t="s">
        <v>279</v>
      </c>
      <c r="R43" t="s">
        <v>280</v>
      </c>
      <c r="S43" t="s">
        <v>589</v>
      </c>
    </row>
    <row r="44" spans="1:19" ht="57.6" x14ac:dyDescent="0.55000000000000004">
      <c r="A44">
        <v>43</v>
      </c>
      <c r="B44" t="s">
        <v>281</v>
      </c>
      <c r="C44" t="s">
        <v>282</v>
      </c>
      <c r="D44" t="s">
        <v>584</v>
      </c>
      <c r="E44" t="s">
        <v>51</v>
      </c>
      <c r="F44" t="s">
        <v>283</v>
      </c>
      <c r="G44" t="s">
        <v>34</v>
      </c>
      <c r="H44" t="s">
        <v>73</v>
      </c>
      <c r="I44" s="1">
        <v>46226</v>
      </c>
      <c r="J44" t="s">
        <v>54</v>
      </c>
      <c r="K44" t="s">
        <v>23</v>
      </c>
      <c r="L44" t="s">
        <v>24</v>
      </c>
      <c r="M44" s="3" t="s">
        <v>25</v>
      </c>
      <c r="N44" t="b">
        <f>NOT(OR(Final_table[[#This Row],[Degree Required]]="Not Specified",Final_table[[#This Row],[Degree Required]]="High School Diploma",Final_table[[#This Row],[Degree Required]]="Bachelor's Degree"))</f>
        <v>0</v>
      </c>
      <c r="O44" t="s">
        <v>37</v>
      </c>
      <c r="P44" t="s">
        <v>284</v>
      </c>
      <c r="Q44" s="2" t="s">
        <v>285</v>
      </c>
      <c r="R44" t="s">
        <v>286</v>
      </c>
      <c r="S44" t="s">
        <v>589</v>
      </c>
    </row>
    <row r="45" spans="1:19" ht="57.6" x14ac:dyDescent="0.55000000000000004">
      <c r="A45">
        <v>44</v>
      </c>
      <c r="B45" t="s">
        <v>287</v>
      </c>
      <c r="C45" t="s">
        <v>288</v>
      </c>
      <c r="D45" t="s">
        <v>584</v>
      </c>
      <c r="E45" t="s">
        <v>289</v>
      </c>
      <c r="F45" t="s">
        <v>290</v>
      </c>
      <c r="G45" t="s">
        <v>34</v>
      </c>
      <c r="H45" t="s">
        <v>73</v>
      </c>
      <c r="I45" s="1">
        <v>46222</v>
      </c>
      <c r="J45" t="s">
        <v>54</v>
      </c>
      <c r="K45" t="s">
        <v>23</v>
      </c>
      <c r="L45" t="s">
        <v>55</v>
      </c>
      <c r="M45" s="3" t="s">
        <v>170</v>
      </c>
      <c r="N45" t="b">
        <f>NOT(OR(Final_table[[#This Row],[Degree Required]]="Not Specified",Final_table[[#This Row],[Degree Required]]="High School Diploma",Final_table[[#This Row],[Degree Required]]="Bachelor's Degree"))</f>
        <v>1</v>
      </c>
      <c r="O45" t="s">
        <v>291</v>
      </c>
      <c r="P45" t="s">
        <v>292</v>
      </c>
      <c r="Q45" s="2" t="s">
        <v>293</v>
      </c>
      <c r="R45" t="s">
        <v>294</v>
      </c>
      <c r="S45" t="s">
        <v>591</v>
      </c>
    </row>
    <row r="46" spans="1:19" ht="57.6" x14ac:dyDescent="0.55000000000000004">
      <c r="A46">
        <v>45</v>
      </c>
      <c r="B46" t="s">
        <v>208</v>
      </c>
      <c r="C46" t="s">
        <v>295</v>
      </c>
      <c r="D46" t="s">
        <v>70</v>
      </c>
      <c r="E46" t="s">
        <v>71</v>
      </c>
      <c r="F46" t="s">
        <v>296</v>
      </c>
      <c r="G46" t="s">
        <v>34</v>
      </c>
      <c r="H46" t="s">
        <v>73</v>
      </c>
      <c r="I46" s="1">
        <v>46223</v>
      </c>
      <c r="J46" t="s">
        <v>22</v>
      </c>
      <c r="K46" t="s">
        <v>23</v>
      </c>
      <c r="L46" t="s">
        <v>24</v>
      </c>
      <c r="M46" s="3" t="s">
        <v>25</v>
      </c>
      <c r="N46" t="b">
        <f>NOT(OR(Final_table[[#This Row],[Degree Required]]="Not Specified",Final_table[[#This Row],[Degree Required]]="High School Diploma",Final_table[[#This Row],[Degree Required]]="Bachelor's Degree"))</f>
        <v>0</v>
      </c>
      <c r="O46" t="s">
        <v>37</v>
      </c>
      <c r="P46" t="s">
        <v>297</v>
      </c>
      <c r="Q46" s="2" t="s">
        <v>298</v>
      </c>
      <c r="R46" t="s">
        <v>299</v>
      </c>
      <c r="S46" t="s">
        <v>587</v>
      </c>
    </row>
    <row r="47" spans="1:19" ht="57.6" x14ac:dyDescent="0.55000000000000004">
      <c r="A47">
        <v>46</v>
      </c>
      <c r="B47" t="s">
        <v>168</v>
      </c>
      <c r="C47" t="s">
        <v>300</v>
      </c>
      <c r="D47" t="s">
        <v>584</v>
      </c>
      <c r="E47" t="s">
        <v>51</v>
      </c>
      <c r="F47" t="s">
        <v>242</v>
      </c>
      <c r="G47" t="s">
        <v>34</v>
      </c>
      <c r="H47" t="s">
        <v>35</v>
      </c>
      <c r="J47" t="s">
        <v>74</v>
      </c>
      <c r="K47" t="s">
        <v>23</v>
      </c>
      <c r="L47" t="s">
        <v>55</v>
      </c>
      <c r="M47" s="3" t="s">
        <v>170</v>
      </c>
      <c r="N47" t="b">
        <f>NOT(OR(Final_table[[#This Row],[Degree Required]]="Not Specified",Final_table[[#This Row],[Degree Required]]="High School Diploma",Final_table[[#This Row],[Degree Required]]="Bachelor's Degree"))</f>
        <v>1</v>
      </c>
      <c r="O47" t="s">
        <v>301</v>
      </c>
      <c r="P47" t="s">
        <v>302</v>
      </c>
      <c r="Q47" s="2" t="s">
        <v>303</v>
      </c>
      <c r="R47" t="s">
        <v>304</v>
      </c>
      <c r="S47" t="s">
        <v>589</v>
      </c>
    </row>
    <row r="48" spans="1:19" ht="57.6" x14ac:dyDescent="0.55000000000000004">
      <c r="A48">
        <v>47</v>
      </c>
      <c r="B48" t="s">
        <v>305</v>
      </c>
      <c r="C48" t="s">
        <v>300</v>
      </c>
      <c r="D48" t="s">
        <v>584</v>
      </c>
      <c r="E48" t="s">
        <v>51</v>
      </c>
      <c r="F48" t="s">
        <v>242</v>
      </c>
      <c r="G48" t="s">
        <v>34</v>
      </c>
      <c r="H48" t="s">
        <v>35</v>
      </c>
      <c r="J48" t="s">
        <v>74</v>
      </c>
      <c r="K48" t="s">
        <v>23</v>
      </c>
      <c r="L48" t="s">
        <v>55</v>
      </c>
      <c r="M48" s="3" t="s">
        <v>170</v>
      </c>
      <c r="N48" t="b">
        <f>NOT(OR(Final_table[[#This Row],[Degree Required]]="Not Specified",Final_table[[#This Row],[Degree Required]]="High School Diploma",Final_table[[#This Row],[Degree Required]]="Bachelor's Degree"))</f>
        <v>0</v>
      </c>
      <c r="O48" t="s">
        <v>37</v>
      </c>
      <c r="P48" t="s">
        <v>306</v>
      </c>
      <c r="Q48" s="2" t="s">
        <v>307</v>
      </c>
      <c r="R48" t="s">
        <v>308</v>
      </c>
      <c r="S48" t="s">
        <v>594</v>
      </c>
    </row>
    <row r="49" spans="1:19" ht="57.6" x14ac:dyDescent="0.55000000000000004">
      <c r="A49">
        <v>48</v>
      </c>
      <c r="B49" t="s">
        <v>309</v>
      </c>
      <c r="C49" t="s">
        <v>252</v>
      </c>
      <c r="D49" t="s">
        <v>70</v>
      </c>
      <c r="E49" t="s">
        <v>71</v>
      </c>
      <c r="F49" t="s">
        <v>247</v>
      </c>
      <c r="G49" t="s">
        <v>34</v>
      </c>
      <c r="H49" t="s">
        <v>310</v>
      </c>
      <c r="I49" s="1">
        <v>46222</v>
      </c>
      <c r="J49" t="s">
        <v>74</v>
      </c>
      <c r="K49" t="s">
        <v>23</v>
      </c>
      <c r="L49" t="s">
        <v>55</v>
      </c>
      <c r="M49" s="3" t="s">
        <v>170</v>
      </c>
      <c r="N49" t="b">
        <f>NOT(OR(Final_table[[#This Row],[Degree Required]]="Not Specified",Final_table[[#This Row],[Degree Required]]="High School Diploma",Final_table[[#This Row],[Degree Required]]="Bachelor's Degree"))</f>
        <v>0</v>
      </c>
      <c r="O49" t="s">
        <v>37</v>
      </c>
      <c r="P49" t="s">
        <v>311</v>
      </c>
      <c r="Q49" s="2" t="s">
        <v>312</v>
      </c>
      <c r="R49" t="s">
        <v>313</v>
      </c>
      <c r="S49" t="s">
        <v>594</v>
      </c>
    </row>
    <row r="50" spans="1:19" ht="57.6" x14ac:dyDescent="0.55000000000000004">
      <c r="A50">
        <v>49</v>
      </c>
      <c r="B50" t="s">
        <v>144</v>
      </c>
      <c r="C50" t="s">
        <v>314</v>
      </c>
      <c r="D50" t="s">
        <v>70</v>
      </c>
      <c r="E50" t="s">
        <v>71</v>
      </c>
      <c r="F50" t="s">
        <v>315</v>
      </c>
      <c r="G50" t="s">
        <v>34</v>
      </c>
      <c r="H50" t="s">
        <v>310</v>
      </c>
      <c r="I50" s="1">
        <v>46222</v>
      </c>
      <c r="J50" t="s">
        <v>54</v>
      </c>
      <c r="K50" t="s">
        <v>23</v>
      </c>
      <c r="L50" t="s">
        <v>55</v>
      </c>
      <c r="M50" s="3" t="s">
        <v>170</v>
      </c>
      <c r="N50" t="b">
        <f>NOT(OR(Final_table[[#This Row],[Degree Required]]="Not Specified",Final_table[[#This Row],[Degree Required]]="High School Diploma",Final_table[[#This Row],[Degree Required]]="Bachelor's Degree"))</f>
        <v>0</v>
      </c>
      <c r="O50" t="s">
        <v>37</v>
      </c>
      <c r="P50" t="s">
        <v>316</v>
      </c>
      <c r="Q50" s="2" t="s">
        <v>317</v>
      </c>
      <c r="R50" t="s">
        <v>318</v>
      </c>
      <c r="S50" t="s">
        <v>587</v>
      </c>
    </row>
    <row r="51" spans="1:19" ht="57.6" x14ac:dyDescent="0.55000000000000004">
      <c r="A51">
        <v>50</v>
      </c>
      <c r="B51" t="s">
        <v>319</v>
      </c>
      <c r="C51" t="s">
        <v>320</v>
      </c>
      <c r="D51" t="s">
        <v>70</v>
      </c>
      <c r="E51" t="s">
        <v>71</v>
      </c>
      <c r="F51" t="s">
        <v>321</v>
      </c>
      <c r="G51" t="s">
        <v>34</v>
      </c>
      <c r="H51" t="s">
        <v>310</v>
      </c>
      <c r="J51" t="s">
        <v>22</v>
      </c>
      <c r="K51" t="s">
        <v>23</v>
      </c>
      <c r="L51" t="s">
        <v>55</v>
      </c>
      <c r="M51" s="3" t="s">
        <v>170</v>
      </c>
      <c r="N51" t="b">
        <f>NOT(OR(Final_table[[#This Row],[Degree Required]]="Not Specified",Final_table[[#This Row],[Degree Required]]="High School Diploma",Final_table[[#This Row],[Degree Required]]="Bachelor's Degree"))</f>
        <v>0</v>
      </c>
      <c r="O51" t="s">
        <v>37</v>
      </c>
      <c r="P51" t="s">
        <v>322</v>
      </c>
      <c r="Q51" s="2" t="s">
        <v>323</v>
      </c>
      <c r="R51" t="s">
        <v>324</v>
      </c>
      <c r="S51" t="s">
        <v>595</v>
      </c>
    </row>
    <row r="52" spans="1:19" ht="43.2" x14ac:dyDescent="0.55000000000000004">
      <c r="A52">
        <v>51</v>
      </c>
      <c r="B52" t="s">
        <v>325</v>
      </c>
      <c r="C52" t="s">
        <v>326</v>
      </c>
      <c r="D52" t="s">
        <v>70</v>
      </c>
      <c r="E52" t="s">
        <v>71</v>
      </c>
      <c r="F52" t="s">
        <v>327</v>
      </c>
      <c r="G52" t="s">
        <v>34</v>
      </c>
      <c r="H52" t="s">
        <v>310</v>
      </c>
      <c r="I52" s="1">
        <v>46199</v>
      </c>
      <c r="J52" t="s">
        <v>74</v>
      </c>
      <c r="K52" t="s">
        <v>23</v>
      </c>
      <c r="L52" t="s">
        <v>24</v>
      </c>
      <c r="M52" s="3" t="s">
        <v>81</v>
      </c>
      <c r="N52" t="b">
        <f>NOT(OR(Final_table[[#This Row],[Degree Required]]="Not Specified",Final_table[[#This Row],[Degree Required]]="High School Diploma",Final_table[[#This Row],[Degree Required]]="Bachelor's Degree"))</f>
        <v>0</v>
      </c>
      <c r="O52" t="s">
        <v>37</v>
      </c>
      <c r="P52" t="s">
        <v>328</v>
      </c>
      <c r="Q52" s="2" t="s">
        <v>329</v>
      </c>
      <c r="R52" t="s">
        <v>330</v>
      </c>
      <c r="S52" t="s">
        <v>587</v>
      </c>
    </row>
    <row r="53" spans="1:19" ht="43.2" x14ac:dyDescent="0.55000000000000004">
      <c r="A53">
        <v>52</v>
      </c>
      <c r="B53" t="s">
        <v>331</v>
      </c>
      <c r="C53" t="s">
        <v>252</v>
      </c>
      <c r="D53" t="s">
        <v>70</v>
      </c>
      <c r="E53" t="s">
        <v>71</v>
      </c>
      <c r="F53" t="s">
        <v>247</v>
      </c>
      <c r="G53" t="s">
        <v>34</v>
      </c>
      <c r="H53" t="s">
        <v>310</v>
      </c>
      <c r="I53" s="1">
        <v>46163</v>
      </c>
      <c r="J53" t="s">
        <v>74</v>
      </c>
      <c r="K53" t="s">
        <v>23</v>
      </c>
      <c r="L53" t="s">
        <v>55</v>
      </c>
      <c r="M53" s="3" t="s">
        <v>170</v>
      </c>
      <c r="N53" t="b">
        <f>NOT(OR(Final_table[[#This Row],[Degree Required]]="Not Specified",Final_table[[#This Row],[Degree Required]]="High School Diploma",Final_table[[#This Row],[Degree Required]]="Bachelor's Degree"))</f>
        <v>0</v>
      </c>
      <c r="O53" t="s">
        <v>37</v>
      </c>
      <c r="P53" t="s">
        <v>332</v>
      </c>
      <c r="Q53" s="2" t="s">
        <v>333</v>
      </c>
      <c r="R53" t="s">
        <v>334</v>
      </c>
      <c r="S53" t="s">
        <v>592</v>
      </c>
    </row>
    <row r="54" spans="1:19" ht="43.2" x14ac:dyDescent="0.55000000000000004">
      <c r="A54">
        <v>53</v>
      </c>
      <c r="B54" t="s">
        <v>335</v>
      </c>
      <c r="C54" t="s">
        <v>336</v>
      </c>
      <c r="D54" t="s">
        <v>70</v>
      </c>
      <c r="E54" t="s">
        <v>71</v>
      </c>
      <c r="F54" t="s">
        <v>337</v>
      </c>
      <c r="G54" t="s">
        <v>34</v>
      </c>
      <c r="H54" t="s">
        <v>310</v>
      </c>
      <c r="I54" s="1">
        <v>46229</v>
      </c>
      <c r="J54" t="s">
        <v>22</v>
      </c>
      <c r="K54" t="s">
        <v>23</v>
      </c>
      <c r="L54" t="s">
        <v>24</v>
      </c>
      <c r="M54" s="3" t="s">
        <v>81</v>
      </c>
      <c r="N54" t="b">
        <f>NOT(OR(Final_table[[#This Row],[Degree Required]]="Not Specified",Final_table[[#This Row],[Degree Required]]="High School Diploma",Final_table[[#This Row],[Degree Required]]="Bachelor's Degree"))</f>
        <v>0</v>
      </c>
      <c r="O54" t="s">
        <v>37</v>
      </c>
      <c r="P54" t="s">
        <v>338</v>
      </c>
      <c r="Q54" s="2" t="s">
        <v>339</v>
      </c>
      <c r="R54" t="s">
        <v>340</v>
      </c>
      <c r="S54" t="s">
        <v>591</v>
      </c>
    </row>
    <row r="55" spans="1:19" ht="57.6" x14ac:dyDescent="0.55000000000000004">
      <c r="A55">
        <v>54</v>
      </c>
      <c r="B55" t="s">
        <v>341</v>
      </c>
      <c r="C55" t="s">
        <v>342</v>
      </c>
      <c r="D55" t="s">
        <v>584</v>
      </c>
      <c r="E55" t="s">
        <v>51</v>
      </c>
      <c r="F55" t="s">
        <v>343</v>
      </c>
      <c r="G55" t="s">
        <v>34</v>
      </c>
      <c r="H55" t="s">
        <v>35</v>
      </c>
      <c r="J55" t="s">
        <v>74</v>
      </c>
      <c r="K55" t="s">
        <v>23</v>
      </c>
      <c r="L55" t="s">
        <v>55</v>
      </c>
      <c r="M55" s="3" t="s">
        <v>170</v>
      </c>
      <c r="N55" t="b">
        <f>NOT(OR(Final_table[[#This Row],[Degree Required]]="Not Specified",Final_table[[#This Row],[Degree Required]]="High School Diploma",Final_table[[#This Row],[Degree Required]]="Bachelor's Degree"))</f>
        <v>0</v>
      </c>
      <c r="O55" t="s">
        <v>37</v>
      </c>
      <c r="P55" t="s">
        <v>344</v>
      </c>
      <c r="Q55" s="2" t="s">
        <v>345</v>
      </c>
      <c r="R55" t="s">
        <v>346</v>
      </c>
      <c r="S55" t="s">
        <v>593</v>
      </c>
    </row>
    <row r="56" spans="1:19" ht="57.6" x14ac:dyDescent="0.55000000000000004">
      <c r="A56">
        <v>55</v>
      </c>
      <c r="B56" t="s">
        <v>347</v>
      </c>
      <c r="C56" t="s">
        <v>342</v>
      </c>
      <c r="D56" t="s">
        <v>584</v>
      </c>
      <c r="E56" t="s">
        <v>51</v>
      </c>
      <c r="F56" t="s">
        <v>348</v>
      </c>
      <c r="G56" t="s">
        <v>34</v>
      </c>
      <c r="H56" t="s">
        <v>35</v>
      </c>
      <c r="J56" t="s">
        <v>22</v>
      </c>
      <c r="K56" t="s">
        <v>23</v>
      </c>
      <c r="L56" t="s">
        <v>55</v>
      </c>
      <c r="M56" s="3" t="s">
        <v>170</v>
      </c>
      <c r="N56" t="b">
        <f>NOT(OR(Final_table[[#This Row],[Degree Required]]="Not Specified",Final_table[[#This Row],[Degree Required]]="High School Diploma",Final_table[[#This Row],[Degree Required]]="Bachelor's Degree"))</f>
        <v>0</v>
      </c>
      <c r="O56" t="s">
        <v>37</v>
      </c>
      <c r="P56" t="s">
        <v>349</v>
      </c>
      <c r="Q56" s="2" t="s">
        <v>350</v>
      </c>
      <c r="R56" t="s">
        <v>351</v>
      </c>
      <c r="S56" t="s">
        <v>588</v>
      </c>
    </row>
    <row r="57" spans="1:19" ht="43.2" x14ac:dyDescent="0.55000000000000004">
      <c r="A57">
        <v>56</v>
      </c>
      <c r="B57" t="s">
        <v>352</v>
      </c>
      <c r="C57" t="s">
        <v>353</v>
      </c>
      <c r="D57" t="s">
        <v>584</v>
      </c>
      <c r="E57" t="s">
        <v>51</v>
      </c>
      <c r="F57" t="s">
        <v>354</v>
      </c>
      <c r="G57" t="s">
        <v>355</v>
      </c>
      <c r="H57" t="s">
        <v>35</v>
      </c>
      <c r="J57" t="s">
        <v>74</v>
      </c>
      <c r="K57" t="s">
        <v>23</v>
      </c>
      <c r="L57" t="s">
        <v>24</v>
      </c>
      <c r="M57" s="3" t="s">
        <v>25</v>
      </c>
      <c r="N57" t="b">
        <f>NOT(OR(Final_table[[#This Row],[Degree Required]]="Not Specified",Final_table[[#This Row],[Degree Required]]="High School Diploma",Final_table[[#This Row],[Degree Required]]="Bachelor's Degree"))</f>
        <v>0</v>
      </c>
      <c r="O57" t="s">
        <v>37</v>
      </c>
      <c r="P57" t="s">
        <v>356</v>
      </c>
      <c r="Q57" s="2" t="s">
        <v>357</v>
      </c>
      <c r="R57" t="s">
        <v>358</v>
      </c>
      <c r="S57" t="s">
        <v>594</v>
      </c>
    </row>
    <row r="58" spans="1:19" ht="57.6" x14ac:dyDescent="0.55000000000000004">
      <c r="A58">
        <v>57</v>
      </c>
      <c r="B58" t="s">
        <v>144</v>
      </c>
      <c r="C58" t="s">
        <v>359</v>
      </c>
      <c r="D58" t="s">
        <v>584</v>
      </c>
      <c r="E58" t="s">
        <v>51</v>
      </c>
      <c r="F58" t="s">
        <v>354</v>
      </c>
      <c r="G58" t="s">
        <v>355</v>
      </c>
      <c r="H58" t="s">
        <v>35</v>
      </c>
      <c r="J58" t="s">
        <v>74</v>
      </c>
      <c r="K58" t="s">
        <v>23</v>
      </c>
      <c r="L58" t="s">
        <v>55</v>
      </c>
      <c r="M58" s="3" t="s">
        <v>25</v>
      </c>
      <c r="N58" t="b">
        <f>NOT(OR(Final_table[[#This Row],[Degree Required]]="Not Specified",Final_table[[#This Row],[Degree Required]]="High School Diploma",Final_table[[#This Row],[Degree Required]]="Bachelor's Degree"))</f>
        <v>0</v>
      </c>
      <c r="O58" t="s">
        <v>37</v>
      </c>
      <c r="P58" t="s">
        <v>360</v>
      </c>
      <c r="Q58" s="2" t="s">
        <v>361</v>
      </c>
      <c r="R58" t="s">
        <v>362</v>
      </c>
      <c r="S58" t="s">
        <v>589</v>
      </c>
    </row>
    <row r="59" spans="1:19" ht="43.2" x14ac:dyDescent="0.55000000000000004">
      <c r="A59">
        <v>58</v>
      </c>
      <c r="B59" t="s">
        <v>363</v>
      </c>
      <c r="C59" t="s">
        <v>364</v>
      </c>
      <c r="D59" t="s">
        <v>584</v>
      </c>
      <c r="E59" t="s">
        <v>71</v>
      </c>
      <c r="F59" t="s">
        <v>236</v>
      </c>
      <c r="G59" t="s">
        <v>34</v>
      </c>
      <c r="H59" t="s">
        <v>35</v>
      </c>
      <c r="J59" t="s">
        <v>22</v>
      </c>
      <c r="K59" t="s">
        <v>23</v>
      </c>
      <c r="L59" t="s">
        <v>24</v>
      </c>
      <c r="M59" s="3" t="s">
        <v>81</v>
      </c>
      <c r="N59" t="b">
        <f>NOT(OR(Final_table[[#This Row],[Degree Required]]="Not Specified",Final_table[[#This Row],[Degree Required]]="High School Diploma",Final_table[[#This Row],[Degree Required]]="Bachelor's Degree"))</f>
        <v>0</v>
      </c>
      <c r="O59" t="s">
        <v>37</v>
      </c>
      <c r="P59" t="s">
        <v>365</v>
      </c>
      <c r="Q59" s="2" t="s">
        <v>366</v>
      </c>
      <c r="R59" t="s">
        <v>367</v>
      </c>
      <c r="S59" t="s">
        <v>591</v>
      </c>
    </row>
    <row r="60" spans="1:19" ht="43.2" x14ac:dyDescent="0.55000000000000004">
      <c r="A60">
        <v>59</v>
      </c>
      <c r="B60" t="s">
        <v>368</v>
      </c>
      <c r="C60" t="s">
        <v>364</v>
      </c>
      <c r="D60" t="s">
        <v>584</v>
      </c>
      <c r="E60" t="s">
        <v>71</v>
      </c>
      <c r="F60" t="s">
        <v>369</v>
      </c>
      <c r="G60" t="s">
        <v>34</v>
      </c>
      <c r="H60" t="s">
        <v>35</v>
      </c>
      <c r="J60" t="s">
        <v>22</v>
      </c>
      <c r="K60" t="s">
        <v>23</v>
      </c>
      <c r="L60" t="s">
        <v>75</v>
      </c>
      <c r="M60" s="3" t="s">
        <v>76</v>
      </c>
      <c r="N60" t="b">
        <f>NOT(OR(Final_table[[#This Row],[Degree Required]]="Not Specified",Final_table[[#This Row],[Degree Required]]="High School Diploma",Final_table[[#This Row],[Degree Required]]="Bachelor's Degree"))</f>
        <v>0</v>
      </c>
      <c r="O60" t="s">
        <v>37</v>
      </c>
      <c r="P60" t="s">
        <v>370</v>
      </c>
      <c r="Q60" s="2" t="s">
        <v>371</v>
      </c>
      <c r="R60" t="s">
        <v>372</v>
      </c>
      <c r="S60" t="s">
        <v>590</v>
      </c>
    </row>
    <row r="61" spans="1:19" ht="57.6" x14ac:dyDescent="0.55000000000000004">
      <c r="A61">
        <v>60</v>
      </c>
      <c r="B61" t="s">
        <v>373</v>
      </c>
      <c r="C61" t="s">
        <v>374</v>
      </c>
      <c r="D61" t="s">
        <v>584</v>
      </c>
      <c r="E61" t="s">
        <v>51</v>
      </c>
      <c r="F61" t="s">
        <v>242</v>
      </c>
      <c r="G61" t="s">
        <v>34</v>
      </c>
      <c r="H61" t="s">
        <v>35</v>
      </c>
      <c r="I61" s="1">
        <v>46195</v>
      </c>
      <c r="J61" t="s">
        <v>74</v>
      </c>
      <c r="K61" t="s">
        <v>23</v>
      </c>
      <c r="L61" t="s">
        <v>55</v>
      </c>
      <c r="M61" s="3" t="s">
        <v>170</v>
      </c>
      <c r="N61" t="b">
        <f>NOT(OR(Final_table[[#This Row],[Degree Required]]="Not Specified",Final_table[[#This Row],[Degree Required]]="High School Diploma",Final_table[[#This Row],[Degree Required]]="Bachelor's Degree"))</f>
        <v>0</v>
      </c>
      <c r="O61" t="s">
        <v>37</v>
      </c>
      <c r="P61" t="s">
        <v>375</v>
      </c>
      <c r="Q61" s="2" t="s">
        <v>376</v>
      </c>
      <c r="R61" t="s">
        <v>377</v>
      </c>
      <c r="S61" t="s">
        <v>593</v>
      </c>
    </row>
    <row r="62" spans="1:19" ht="57.6" x14ac:dyDescent="0.55000000000000004">
      <c r="A62">
        <v>61</v>
      </c>
      <c r="B62" t="s">
        <v>378</v>
      </c>
      <c r="C62" t="s">
        <v>379</v>
      </c>
      <c r="D62" t="s">
        <v>584</v>
      </c>
      <c r="E62" t="s">
        <v>51</v>
      </c>
      <c r="F62" t="s">
        <v>380</v>
      </c>
      <c r="G62" t="s">
        <v>381</v>
      </c>
      <c r="H62" t="s">
        <v>35</v>
      </c>
      <c r="J62" t="s">
        <v>74</v>
      </c>
      <c r="K62" t="s">
        <v>23</v>
      </c>
      <c r="L62" t="s">
        <v>24</v>
      </c>
      <c r="M62" s="3" t="s">
        <v>106</v>
      </c>
      <c r="N62" t="b">
        <f>NOT(OR(Final_table[[#This Row],[Degree Required]]="Not Specified",Final_table[[#This Row],[Degree Required]]="High School Diploma",Final_table[[#This Row],[Degree Required]]="Bachelor's Degree"))</f>
        <v>0</v>
      </c>
      <c r="O62" t="s">
        <v>37</v>
      </c>
      <c r="P62" t="s">
        <v>382</v>
      </c>
      <c r="Q62" s="2" t="s">
        <v>383</v>
      </c>
      <c r="R62" t="s">
        <v>384</v>
      </c>
      <c r="S62" t="s">
        <v>596</v>
      </c>
    </row>
    <row r="63" spans="1:19" ht="57.6" x14ac:dyDescent="0.55000000000000004">
      <c r="A63">
        <v>62</v>
      </c>
      <c r="B63" t="s">
        <v>385</v>
      </c>
      <c r="C63" t="s">
        <v>379</v>
      </c>
      <c r="D63" t="s">
        <v>584</v>
      </c>
      <c r="E63" t="s">
        <v>51</v>
      </c>
      <c r="F63" t="s">
        <v>380</v>
      </c>
      <c r="G63" t="s">
        <v>381</v>
      </c>
      <c r="H63" t="s">
        <v>35</v>
      </c>
      <c r="J63" t="s">
        <v>74</v>
      </c>
      <c r="K63" t="s">
        <v>23</v>
      </c>
      <c r="L63" t="s">
        <v>24</v>
      </c>
      <c r="M63" s="3" t="s">
        <v>106</v>
      </c>
      <c r="N63" t="b">
        <f>NOT(OR(Final_table[[#This Row],[Degree Required]]="Not Specified",Final_table[[#This Row],[Degree Required]]="High School Diploma",Final_table[[#This Row],[Degree Required]]="Bachelor's Degree"))</f>
        <v>0</v>
      </c>
      <c r="O63" t="s">
        <v>37</v>
      </c>
      <c r="P63" t="s">
        <v>382</v>
      </c>
      <c r="Q63" s="2" t="s">
        <v>386</v>
      </c>
      <c r="R63" t="s">
        <v>387</v>
      </c>
      <c r="S63" t="s">
        <v>596</v>
      </c>
    </row>
    <row r="64" spans="1:19" ht="43.2" x14ac:dyDescent="0.55000000000000004">
      <c r="A64">
        <v>63</v>
      </c>
      <c r="B64" t="s">
        <v>17</v>
      </c>
      <c r="C64" t="s">
        <v>388</v>
      </c>
      <c r="D64" t="s">
        <v>584</v>
      </c>
      <c r="E64" t="s">
        <v>51</v>
      </c>
      <c r="F64" t="s">
        <v>242</v>
      </c>
      <c r="G64" t="s">
        <v>34</v>
      </c>
      <c r="H64" t="s">
        <v>35</v>
      </c>
      <c r="J64" t="s">
        <v>74</v>
      </c>
      <c r="K64" t="s">
        <v>23</v>
      </c>
      <c r="L64" t="s">
        <v>24</v>
      </c>
      <c r="M64" s="3" t="s">
        <v>106</v>
      </c>
      <c r="N64" t="b">
        <f>NOT(OR(Final_table[[#This Row],[Degree Required]]="Not Specified",Final_table[[#This Row],[Degree Required]]="High School Diploma",Final_table[[#This Row],[Degree Required]]="Bachelor's Degree"))</f>
        <v>0</v>
      </c>
      <c r="O64" t="s">
        <v>36</v>
      </c>
      <c r="P64" t="s">
        <v>389</v>
      </c>
      <c r="Q64" s="2" t="s">
        <v>390</v>
      </c>
      <c r="R64" t="s">
        <v>391</v>
      </c>
      <c r="S64" t="s">
        <v>588</v>
      </c>
    </row>
    <row r="65" spans="1:19" ht="57.6" x14ac:dyDescent="0.55000000000000004">
      <c r="A65">
        <v>64</v>
      </c>
      <c r="B65" t="s">
        <v>392</v>
      </c>
      <c r="C65" t="s">
        <v>388</v>
      </c>
      <c r="D65" t="s">
        <v>584</v>
      </c>
      <c r="E65" t="s">
        <v>51</v>
      </c>
      <c r="F65" t="s">
        <v>242</v>
      </c>
      <c r="G65" t="s">
        <v>34</v>
      </c>
      <c r="H65" t="s">
        <v>35</v>
      </c>
      <c r="J65" t="s">
        <v>54</v>
      </c>
      <c r="K65" t="s">
        <v>23</v>
      </c>
      <c r="L65" t="s">
        <v>55</v>
      </c>
      <c r="M65" s="3" t="s">
        <v>170</v>
      </c>
      <c r="N65" t="b">
        <f>NOT(OR(Final_table[[#This Row],[Degree Required]]="Not Specified",Final_table[[#This Row],[Degree Required]]="High School Diploma",Final_table[[#This Row],[Degree Required]]="Bachelor's Degree"))</f>
        <v>1</v>
      </c>
      <c r="O65" t="s">
        <v>393</v>
      </c>
      <c r="P65" t="s">
        <v>394</v>
      </c>
      <c r="Q65" s="2" t="s">
        <v>395</v>
      </c>
      <c r="R65" t="s">
        <v>396</v>
      </c>
      <c r="S65" t="s">
        <v>588</v>
      </c>
    </row>
    <row r="66" spans="1:19" ht="43.2" x14ac:dyDescent="0.55000000000000004">
      <c r="A66">
        <v>65</v>
      </c>
      <c r="B66" t="s">
        <v>397</v>
      </c>
      <c r="C66" t="s">
        <v>398</v>
      </c>
      <c r="D66" t="s">
        <v>132</v>
      </c>
      <c r="E66" t="s">
        <v>71</v>
      </c>
      <c r="F66" t="s">
        <v>399</v>
      </c>
      <c r="G66" t="s">
        <v>34</v>
      </c>
      <c r="H66" t="s">
        <v>35</v>
      </c>
      <c r="J66" t="s">
        <v>22</v>
      </c>
      <c r="K66" t="s">
        <v>23</v>
      </c>
      <c r="L66" t="s">
        <v>24</v>
      </c>
      <c r="M66" s="3" t="s">
        <v>106</v>
      </c>
      <c r="N66" t="b">
        <f>NOT(OR(Final_table[[#This Row],[Degree Required]]="Not Specified",Final_table[[#This Row],[Degree Required]]="High School Diploma",Final_table[[#This Row],[Degree Required]]="Bachelor's Degree"))</f>
        <v>0</v>
      </c>
      <c r="O66" t="s">
        <v>37</v>
      </c>
      <c r="P66" t="s">
        <v>400</v>
      </c>
      <c r="Q66" s="2" t="s">
        <v>401</v>
      </c>
      <c r="R66" t="s">
        <v>402</v>
      </c>
      <c r="S66" t="s">
        <v>595</v>
      </c>
    </row>
    <row r="67" spans="1:19" ht="43.2" x14ac:dyDescent="0.55000000000000004">
      <c r="A67">
        <v>66</v>
      </c>
      <c r="B67" t="s">
        <v>403</v>
      </c>
      <c r="C67" t="s">
        <v>398</v>
      </c>
      <c r="D67" t="s">
        <v>132</v>
      </c>
      <c r="E67" t="s">
        <v>71</v>
      </c>
      <c r="F67" t="s">
        <v>399</v>
      </c>
      <c r="G67" t="s">
        <v>34</v>
      </c>
      <c r="H67" t="s">
        <v>35</v>
      </c>
      <c r="J67" t="s">
        <v>74</v>
      </c>
      <c r="K67" t="s">
        <v>23</v>
      </c>
      <c r="L67" t="s">
        <v>24</v>
      </c>
      <c r="M67" s="3" t="s">
        <v>81</v>
      </c>
      <c r="N67" t="b">
        <f>NOT(OR(Final_table[[#This Row],[Degree Required]]="Not Specified",Final_table[[#This Row],[Degree Required]]="High School Diploma",Final_table[[#This Row],[Degree Required]]="Bachelor's Degree"))</f>
        <v>0</v>
      </c>
      <c r="O67" t="s">
        <v>37</v>
      </c>
      <c r="P67" t="s">
        <v>404</v>
      </c>
      <c r="Q67" s="2" t="s">
        <v>405</v>
      </c>
      <c r="R67" t="s">
        <v>406</v>
      </c>
      <c r="S67" t="s">
        <v>596</v>
      </c>
    </row>
    <row r="68" spans="1:19" ht="43.2" x14ac:dyDescent="0.55000000000000004">
      <c r="A68">
        <v>67</v>
      </c>
      <c r="B68" t="s">
        <v>407</v>
      </c>
      <c r="C68" t="s">
        <v>398</v>
      </c>
      <c r="D68" t="s">
        <v>132</v>
      </c>
      <c r="E68" t="s">
        <v>71</v>
      </c>
      <c r="F68" t="s">
        <v>242</v>
      </c>
      <c r="G68" t="s">
        <v>34</v>
      </c>
      <c r="H68" t="s">
        <v>35</v>
      </c>
      <c r="J68" t="s">
        <v>74</v>
      </c>
      <c r="K68" t="s">
        <v>23</v>
      </c>
      <c r="L68" t="s">
        <v>55</v>
      </c>
      <c r="M68" s="3" t="s">
        <v>25</v>
      </c>
      <c r="N68" t="b">
        <f>NOT(OR(Final_table[[#This Row],[Degree Required]]="Not Specified",Final_table[[#This Row],[Degree Required]]="High School Diploma",Final_table[[#This Row],[Degree Required]]="Bachelor's Degree"))</f>
        <v>0</v>
      </c>
      <c r="O68" t="s">
        <v>37</v>
      </c>
      <c r="P68" t="s">
        <v>404</v>
      </c>
      <c r="Q68" s="2" t="s">
        <v>408</v>
      </c>
      <c r="R68" t="s">
        <v>409</v>
      </c>
      <c r="S68" t="s">
        <v>596</v>
      </c>
    </row>
    <row r="69" spans="1:19" ht="57.6" x14ac:dyDescent="0.55000000000000004">
      <c r="A69">
        <v>68</v>
      </c>
      <c r="B69" t="s">
        <v>410</v>
      </c>
      <c r="C69" t="s">
        <v>411</v>
      </c>
      <c r="D69" t="s">
        <v>70</v>
      </c>
      <c r="E69" t="s">
        <v>71</v>
      </c>
      <c r="F69" t="s">
        <v>412</v>
      </c>
      <c r="G69" t="s">
        <v>413</v>
      </c>
      <c r="H69" t="s">
        <v>35</v>
      </c>
      <c r="J69" t="s">
        <v>74</v>
      </c>
      <c r="K69" t="s">
        <v>105</v>
      </c>
      <c r="L69" t="s">
        <v>24</v>
      </c>
      <c r="M69" s="3" t="s">
        <v>106</v>
      </c>
      <c r="N69" t="b">
        <f>NOT(OR(Final_table[[#This Row],[Degree Required]]="Not Specified",Final_table[[#This Row],[Degree Required]]="High School Diploma",Final_table[[#This Row],[Degree Required]]="Bachelor's Degree"))</f>
        <v>1</v>
      </c>
      <c r="O69" t="s">
        <v>414</v>
      </c>
      <c r="P69" t="s">
        <v>415</v>
      </c>
      <c r="Q69" s="2" t="s">
        <v>416</v>
      </c>
      <c r="R69" t="s">
        <v>417</v>
      </c>
      <c r="S69" t="s">
        <v>591</v>
      </c>
    </row>
    <row r="70" spans="1:19" ht="57.6" x14ac:dyDescent="0.55000000000000004">
      <c r="A70">
        <v>69</v>
      </c>
      <c r="B70" t="s">
        <v>418</v>
      </c>
      <c r="C70" t="s">
        <v>419</v>
      </c>
      <c r="D70" t="s">
        <v>584</v>
      </c>
      <c r="E70" t="s">
        <v>51</v>
      </c>
      <c r="F70" t="s">
        <v>242</v>
      </c>
      <c r="G70" t="s">
        <v>34</v>
      </c>
      <c r="H70" t="s">
        <v>35</v>
      </c>
      <c r="J70" t="s">
        <v>74</v>
      </c>
      <c r="K70" t="s">
        <v>23</v>
      </c>
      <c r="L70" t="s">
        <v>420</v>
      </c>
      <c r="M70" s="3" t="s">
        <v>170</v>
      </c>
      <c r="N70" t="b">
        <f>NOT(OR(Final_table[[#This Row],[Degree Required]]="Not Specified",Final_table[[#This Row],[Degree Required]]="High School Diploma",Final_table[[#This Row],[Degree Required]]="Bachelor's Degree"))</f>
        <v>0</v>
      </c>
      <c r="O70" t="s">
        <v>37</v>
      </c>
      <c r="P70" t="s">
        <v>421</v>
      </c>
      <c r="Q70" s="2" t="s">
        <v>422</v>
      </c>
      <c r="R70" t="s">
        <v>423</v>
      </c>
      <c r="S70" t="s">
        <v>594</v>
      </c>
    </row>
    <row r="71" spans="1:19" ht="43.2" x14ac:dyDescent="0.55000000000000004">
      <c r="A71">
        <v>70</v>
      </c>
      <c r="B71" t="s">
        <v>424</v>
      </c>
      <c r="C71" t="s">
        <v>425</v>
      </c>
      <c r="D71" t="s">
        <v>584</v>
      </c>
      <c r="E71" t="s">
        <v>51</v>
      </c>
      <c r="F71" t="s">
        <v>242</v>
      </c>
      <c r="G71" t="s">
        <v>34</v>
      </c>
      <c r="H71" t="s">
        <v>35</v>
      </c>
      <c r="J71" t="s">
        <v>74</v>
      </c>
      <c r="K71" t="s">
        <v>23</v>
      </c>
      <c r="L71" t="s">
        <v>75</v>
      </c>
      <c r="M71" s="3" t="s">
        <v>76</v>
      </c>
      <c r="N71" t="b">
        <f>NOT(OR(Final_table[[#This Row],[Degree Required]]="Not Specified",Final_table[[#This Row],[Degree Required]]="High School Diploma",Final_table[[#This Row],[Degree Required]]="Bachelor's Degree"))</f>
        <v>0</v>
      </c>
      <c r="O71" t="s">
        <v>37</v>
      </c>
      <c r="P71" t="s">
        <v>426</v>
      </c>
      <c r="Q71" s="2" t="s">
        <v>427</v>
      </c>
      <c r="R71" t="s">
        <v>428</v>
      </c>
      <c r="S71" t="s">
        <v>593</v>
      </c>
    </row>
    <row r="72" spans="1:19" ht="28.8" x14ac:dyDescent="0.55000000000000004">
      <c r="A72">
        <v>71</v>
      </c>
      <c r="B72" t="s">
        <v>429</v>
      </c>
      <c r="C72" t="s">
        <v>430</v>
      </c>
      <c r="D72" t="s">
        <v>584</v>
      </c>
      <c r="E72" t="s">
        <v>51</v>
      </c>
      <c r="F72" t="s">
        <v>431</v>
      </c>
      <c r="G72" t="s">
        <v>432</v>
      </c>
      <c r="H72" t="s">
        <v>35</v>
      </c>
      <c r="J72" t="s">
        <v>54</v>
      </c>
      <c r="K72" t="s">
        <v>23</v>
      </c>
      <c r="L72" t="s">
        <v>55</v>
      </c>
      <c r="M72" s="3" t="s">
        <v>25</v>
      </c>
      <c r="N72" t="b">
        <f>NOT(OR(Final_table[[#This Row],[Degree Required]]="Not Specified",Final_table[[#This Row],[Degree Required]]="High School Diploma",Final_table[[#This Row],[Degree Required]]="Bachelor's Degree"))</f>
        <v>0</v>
      </c>
      <c r="O72" t="s">
        <v>37</v>
      </c>
      <c r="P72" t="s">
        <v>433</v>
      </c>
      <c r="Q72" s="2" t="s">
        <v>434</v>
      </c>
      <c r="R72" t="s">
        <v>435</v>
      </c>
      <c r="S72" t="s">
        <v>589</v>
      </c>
    </row>
    <row r="73" spans="1:19" ht="43.2" x14ac:dyDescent="0.55000000000000004">
      <c r="A73">
        <v>72</v>
      </c>
      <c r="B73" t="s">
        <v>436</v>
      </c>
      <c r="C73" t="s">
        <v>430</v>
      </c>
      <c r="D73" t="s">
        <v>584</v>
      </c>
      <c r="E73" t="s">
        <v>51</v>
      </c>
      <c r="F73" t="s">
        <v>431</v>
      </c>
      <c r="G73" t="s">
        <v>432</v>
      </c>
      <c r="H73" t="s">
        <v>35</v>
      </c>
      <c r="J73" t="s">
        <v>54</v>
      </c>
      <c r="K73" t="s">
        <v>23</v>
      </c>
      <c r="L73" t="s">
        <v>437</v>
      </c>
      <c r="M73" s="3" t="s">
        <v>170</v>
      </c>
      <c r="N73" t="b">
        <f>NOT(OR(Final_table[[#This Row],[Degree Required]]="Not Specified",Final_table[[#This Row],[Degree Required]]="High School Diploma",Final_table[[#This Row],[Degree Required]]="Bachelor's Degree"))</f>
        <v>0</v>
      </c>
      <c r="O73" t="s">
        <v>37</v>
      </c>
      <c r="P73" t="s">
        <v>438</v>
      </c>
      <c r="Q73" s="2" t="s">
        <v>439</v>
      </c>
      <c r="R73" t="s">
        <v>440</v>
      </c>
      <c r="S73" t="s">
        <v>594</v>
      </c>
    </row>
    <row r="74" spans="1:19" ht="43.2" x14ac:dyDescent="0.55000000000000004">
      <c r="A74">
        <v>73</v>
      </c>
      <c r="B74" t="s">
        <v>441</v>
      </c>
      <c r="C74" t="s">
        <v>430</v>
      </c>
      <c r="D74" t="s">
        <v>584</v>
      </c>
      <c r="E74" t="s">
        <v>51</v>
      </c>
      <c r="F74" t="s">
        <v>431</v>
      </c>
      <c r="G74" t="s">
        <v>432</v>
      </c>
      <c r="H74" t="s">
        <v>35</v>
      </c>
      <c r="J74" t="s">
        <v>54</v>
      </c>
      <c r="K74" t="s">
        <v>23</v>
      </c>
      <c r="L74" t="s">
        <v>55</v>
      </c>
      <c r="M74" s="3" t="s">
        <v>170</v>
      </c>
      <c r="N74" t="b">
        <f>NOT(OR(Final_table[[#This Row],[Degree Required]]="Not Specified",Final_table[[#This Row],[Degree Required]]="High School Diploma",Final_table[[#This Row],[Degree Required]]="Bachelor's Degree"))</f>
        <v>0</v>
      </c>
      <c r="O74" t="s">
        <v>37</v>
      </c>
      <c r="P74" t="s">
        <v>442</v>
      </c>
      <c r="Q74" s="2" t="s">
        <v>443</v>
      </c>
      <c r="R74" t="s">
        <v>444</v>
      </c>
      <c r="S74" t="s">
        <v>589</v>
      </c>
    </row>
    <row r="75" spans="1:19" ht="57.6" x14ac:dyDescent="0.55000000000000004">
      <c r="A75">
        <v>74</v>
      </c>
      <c r="B75" t="s">
        <v>445</v>
      </c>
      <c r="C75" t="s">
        <v>430</v>
      </c>
      <c r="D75" t="s">
        <v>584</v>
      </c>
      <c r="E75" t="s">
        <v>51</v>
      </c>
      <c r="F75" t="s">
        <v>431</v>
      </c>
      <c r="G75" t="s">
        <v>432</v>
      </c>
      <c r="H75" t="s">
        <v>35</v>
      </c>
      <c r="J75" t="s">
        <v>54</v>
      </c>
      <c r="K75" t="s">
        <v>23</v>
      </c>
      <c r="L75" t="s">
        <v>55</v>
      </c>
      <c r="M75" s="3" t="s">
        <v>25</v>
      </c>
      <c r="N75" t="b">
        <f>NOT(OR(Final_table[[#This Row],[Degree Required]]="Not Specified",Final_table[[#This Row],[Degree Required]]="High School Diploma",Final_table[[#This Row],[Degree Required]]="Bachelor's Degree"))</f>
        <v>0</v>
      </c>
      <c r="O75" t="s">
        <v>37</v>
      </c>
      <c r="P75" t="s">
        <v>446</v>
      </c>
      <c r="Q75" s="2" t="s">
        <v>447</v>
      </c>
      <c r="R75" t="s">
        <v>448</v>
      </c>
      <c r="S75" t="s">
        <v>591</v>
      </c>
    </row>
    <row r="76" spans="1:19" ht="43.2" x14ac:dyDescent="0.55000000000000004">
      <c r="A76">
        <v>75</v>
      </c>
      <c r="B76" t="s">
        <v>449</v>
      </c>
      <c r="C76" t="s">
        <v>450</v>
      </c>
      <c r="D76" t="s">
        <v>584</v>
      </c>
      <c r="E76" t="s">
        <v>51</v>
      </c>
      <c r="F76" t="s">
        <v>242</v>
      </c>
      <c r="G76" t="s">
        <v>34</v>
      </c>
      <c r="H76" t="s">
        <v>35</v>
      </c>
      <c r="J76" t="s">
        <v>74</v>
      </c>
      <c r="K76" t="s">
        <v>23</v>
      </c>
      <c r="L76" t="s">
        <v>55</v>
      </c>
      <c r="M76" s="3" t="s">
        <v>170</v>
      </c>
      <c r="N76" t="b">
        <f>NOT(OR(Final_table[[#This Row],[Degree Required]]="Not Specified",Final_table[[#This Row],[Degree Required]]="High School Diploma",Final_table[[#This Row],[Degree Required]]="Bachelor's Degree"))</f>
        <v>0</v>
      </c>
      <c r="O76" t="s">
        <v>37</v>
      </c>
      <c r="P76" t="s">
        <v>451</v>
      </c>
      <c r="Q76" s="2" t="s">
        <v>452</v>
      </c>
      <c r="R76" t="s">
        <v>453</v>
      </c>
      <c r="S76" t="s">
        <v>591</v>
      </c>
    </row>
    <row r="77" spans="1:19" ht="43.2" x14ac:dyDescent="0.55000000000000004">
      <c r="A77">
        <v>76</v>
      </c>
      <c r="B77" t="s">
        <v>454</v>
      </c>
      <c r="C77" t="s">
        <v>455</v>
      </c>
      <c r="D77" t="s">
        <v>584</v>
      </c>
      <c r="E77" t="s">
        <v>51</v>
      </c>
      <c r="F77" t="s">
        <v>456</v>
      </c>
      <c r="G77" t="s">
        <v>113</v>
      </c>
      <c r="H77" t="s">
        <v>35</v>
      </c>
      <c r="J77" t="s">
        <v>74</v>
      </c>
      <c r="K77" t="s">
        <v>23</v>
      </c>
      <c r="L77" t="s">
        <v>55</v>
      </c>
      <c r="M77" s="3" t="s">
        <v>25</v>
      </c>
      <c r="N77" t="b">
        <f>NOT(OR(Final_table[[#This Row],[Degree Required]]="Not Specified",Final_table[[#This Row],[Degree Required]]="High School Diploma",Final_table[[#This Row],[Degree Required]]="Bachelor's Degree"))</f>
        <v>0</v>
      </c>
      <c r="O77" t="s">
        <v>37</v>
      </c>
      <c r="P77" t="s">
        <v>457</v>
      </c>
      <c r="Q77" s="2" t="s">
        <v>458</v>
      </c>
      <c r="R77" t="s">
        <v>459</v>
      </c>
      <c r="S77" t="s">
        <v>587</v>
      </c>
    </row>
    <row r="78" spans="1:19" ht="43.2" x14ac:dyDescent="0.55000000000000004">
      <c r="A78">
        <v>77</v>
      </c>
      <c r="B78" t="s">
        <v>460</v>
      </c>
      <c r="C78" t="s">
        <v>455</v>
      </c>
      <c r="D78" t="s">
        <v>584</v>
      </c>
      <c r="E78" t="s">
        <v>51</v>
      </c>
      <c r="F78" t="s">
        <v>242</v>
      </c>
      <c r="G78" t="s">
        <v>34</v>
      </c>
      <c r="H78" t="s">
        <v>35</v>
      </c>
      <c r="J78" t="s">
        <v>74</v>
      </c>
      <c r="K78" t="s">
        <v>23</v>
      </c>
      <c r="L78" t="s">
        <v>55</v>
      </c>
      <c r="M78" s="3" t="s">
        <v>25</v>
      </c>
      <c r="N78" t="b">
        <f>NOT(OR(Final_table[[#This Row],[Degree Required]]="Not Specified",Final_table[[#This Row],[Degree Required]]="High School Diploma",Final_table[[#This Row],[Degree Required]]="Bachelor's Degree"))</f>
        <v>0</v>
      </c>
      <c r="O78" t="s">
        <v>37</v>
      </c>
      <c r="P78" t="s">
        <v>461</v>
      </c>
      <c r="Q78" s="2" t="s">
        <v>462</v>
      </c>
      <c r="R78" t="s">
        <v>463</v>
      </c>
      <c r="S78" t="s">
        <v>595</v>
      </c>
    </row>
    <row r="79" spans="1:19" ht="43.2" x14ac:dyDescent="0.55000000000000004">
      <c r="A79">
        <v>78</v>
      </c>
      <c r="B79" t="s">
        <v>464</v>
      </c>
      <c r="C79" t="s">
        <v>465</v>
      </c>
      <c r="D79" t="s">
        <v>584</v>
      </c>
      <c r="E79" t="s">
        <v>51</v>
      </c>
      <c r="F79" t="s">
        <v>242</v>
      </c>
      <c r="G79" t="s">
        <v>34</v>
      </c>
      <c r="H79" t="s">
        <v>35</v>
      </c>
      <c r="J79" t="s">
        <v>74</v>
      </c>
      <c r="K79" t="s">
        <v>23</v>
      </c>
      <c r="L79" t="s">
        <v>55</v>
      </c>
      <c r="M79" s="3" t="s">
        <v>25</v>
      </c>
      <c r="N79" t="b">
        <f>NOT(OR(Final_table[[#This Row],[Degree Required]]="Not Specified",Final_table[[#This Row],[Degree Required]]="High School Diploma",Final_table[[#This Row],[Degree Required]]="Bachelor's Degree"))</f>
        <v>0</v>
      </c>
      <c r="O79" t="s">
        <v>37</v>
      </c>
      <c r="P79" t="s">
        <v>466</v>
      </c>
      <c r="Q79" s="2" t="s">
        <v>467</v>
      </c>
      <c r="R79" t="s">
        <v>468</v>
      </c>
      <c r="S79" t="s">
        <v>587</v>
      </c>
    </row>
    <row r="80" spans="1:19" ht="43.2" x14ac:dyDescent="0.55000000000000004">
      <c r="A80">
        <v>79</v>
      </c>
      <c r="B80" t="s">
        <v>469</v>
      </c>
      <c r="C80" t="s">
        <v>470</v>
      </c>
      <c r="D80" t="s">
        <v>584</v>
      </c>
      <c r="E80" t="s">
        <v>471</v>
      </c>
      <c r="F80" t="s">
        <v>242</v>
      </c>
      <c r="G80" t="s">
        <v>34</v>
      </c>
      <c r="H80" t="s">
        <v>35</v>
      </c>
      <c r="J80" t="s">
        <v>74</v>
      </c>
      <c r="K80" t="s">
        <v>23</v>
      </c>
      <c r="L80" t="s">
        <v>24</v>
      </c>
      <c r="M80" s="3" t="s">
        <v>25</v>
      </c>
      <c r="N80" t="b">
        <f>NOT(OR(Final_table[[#This Row],[Degree Required]]="Not Specified",Final_table[[#This Row],[Degree Required]]="High School Diploma",Final_table[[#This Row],[Degree Required]]="Bachelor's Degree"))</f>
        <v>0</v>
      </c>
      <c r="O80" t="s">
        <v>37</v>
      </c>
      <c r="P80" t="s">
        <v>472</v>
      </c>
      <c r="Q80" s="2" t="s">
        <v>473</v>
      </c>
      <c r="R80" t="s">
        <v>474</v>
      </c>
      <c r="S80" t="s">
        <v>589</v>
      </c>
    </row>
    <row r="81" spans="1:23" ht="43.2" x14ac:dyDescent="0.55000000000000004">
      <c r="A81">
        <v>80</v>
      </c>
      <c r="B81" t="s">
        <v>475</v>
      </c>
      <c r="C81" t="s">
        <v>476</v>
      </c>
      <c r="D81" t="s">
        <v>584</v>
      </c>
      <c r="E81" t="s">
        <v>477</v>
      </c>
      <c r="F81" t="s">
        <v>242</v>
      </c>
      <c r="G81" t="s">
        <v>34</v>
      </c>
      <c r="H81" t="s">
        <v>35</v>
      </c>
      <c r="J81" t="s">
        <v>74</v>
      </c>
      <c r="K81" t="s">
        <v>23</v>
      </c>
      <c r="L81" t="s">
        <v>437</v>
      </c>
      <c r="M81" s="3" t="s">
        <v>170</v>
      </c>
      <c r="N81" t="b">
        <f>NOT(OR(Final_table[[#This Row],[Degree Required]]="Not Specified",Final_table[[#This Row],[Degree Required]]="High School Diploma",Final_table[[#This Row],[Degree Required]]="Bachelor's Degree"))</f>
        <v>0</v>
      </c>
      <c r="O81" t="s">
        <v>37</v>
      </c>
      <c r="P81" t="s">
        <v>478</v>
      </c>
      <c r="Q81" s="2" t="s">
        <v>479</v>
      </c>
      <c r="R81" t="s">
        <v>480</v>
      </c>
      <c r="S81" t="s">
        <v>586</v>
      </c>
    </row>
    <row r="82" spans="1:23" ht="43.2" x14ac:dyDescent="0.55000000000000004">
      <c r="A82">
        <v>81</v>
      </c>
      <c r="B82" t="s">
        <v>144</v>
      </c>
      <c r="C82" t="s">
        <v>214</v>
      </c>
      <c r="D82" t="s">
        <v>584</v>
      </c>
      <c r="E82" t="s">
        <v>481</v>
      </c>
      <c r="F82" t="s">
        <v>242</v>
      </c>
      <c r="G82" t="s">
        <v>34</v>
      </c>
      <c r="H82" t="s">
        <v>35</v>
      </c>
      <c r="I82" s="1">
        <v>46213</v>
      </c>
      <c r="J82" t="s">
        <v>74</v>
      </c>
      <c r="K82" t="s">
        <v>23</v>
      </c>
      <c r="L82" t="s">
        <v>55</v>
      </c>
      <c r="M82" s="3" t="s">
        <v>216</v>
      </c>
      <c r="N82" t="b">
        <f>NOT(OR(Final_table[[#This Row],[Degree Required]]="Not Specified",Final_table[[#This Row],[Degree Required]]="High School Diploma",Final_table[[#This Row],[Degree Required]]="Bachelor's Degree"))</f>
        <v>1</v>
      </c>
      <c r="O82" t="s">
        <v>482</v>
      </c>
      <c r="P82" t="s">
        <v>483</v>
      </c>
      <c r="Q82" s="2" t="s">
        <v>484</v>
      </c>
      <c r="R82" t="s">
        <v>485</v>
      </c>
      <c r="S82" t="s">
        <v>586</v>
      </c>
    </row>
    <row r="83" spans="1:23" ht="57.6" x14ac:dyDescent="0.55000000000000004">
      <c r="A83">
        <v>82</v>
      </c>
      <c r="B83" t="s">
        <v>144</v>
      </c>
      <c r="C83" t="s">
        <v>214</v>
      </c>
      <c r="D83" t="s">
        <v>584</v>
      </c>
      <c r="E83" t="s">
        <v>481</v>
      </c>
      <c r="F83" t="s">
        <v>242</v>
      </c>
      <c r="G83" t="s">
        <v>34</v>
      </c>
      <c r="H83" t="s">
        <v>35</v>
      </c>
      <c r="I83" s="1">
        <v>46213</v>
      </c>
      <c r="J83" t="s">
        <v>74</v>
      </c>
      <c r="K83" t="s">
        <v>23</v>
      </c>
      <c r="L83" t="s">
        <v>55</v>
      </c>
      <c r="M83" s="3" t="s">
        <v>25</v>
      </c>
      <c r="N83" t="b">
        <f>NOT(OR(Final_table[[#This Row],[Degree Required]]="Not Specified",Final_table[[#This Row],[Degree Required]]="High School Diploma",Final_table[[#This Row],[Degree Required]]="Bachelor's Degree"))</f>
        <v>1</v>
      </c>
      <c r="O83" t="s">
        <v>486</v>
      </c>
      <c r="P83" t="s">
        <v>487</v>
      </c>
      <c r="Q83" s="2" t="s">
        <v>488</v>
      </c>
      <c r="R83" t="s">
        <v>489</v>
      </c>
      <c r="S83" t="s">
        <v>593</v>
      </c>
    </row>
    <row r="84" spans="1:23" ht="43.2" x14ac:dyDescent="0.55000000000000004">
      <c r="A84">
        <v>83</v>
      </c>
      <c r="B84" t="s">
        <v>490</v>
      </c>
      <c r="C84" t="s">
        <v>214</v>
      </c>
      <c r="D84" t="s">
        <v>584</v>
      </c>
      <c r="E84" t="s">
        <v>481</v>
      </c>
      <c r="F84" t="s">
        <v>242</v>
      </c>
      <c r="G84" t="s">
        <v>34</v>
      </c>
      <c r="H84" t="s">
        <v>35</v>
      </c>
      <c r="J84" t="s">
        <v>74</v>
      </c>
      <c r="K84" t="s">
        <v>23</v>
      </c>
      <c r="L84" t="s">
        <v>24</v>
      </c>
      <c r="M84" s="3" t="s">
        <v>25</v>
      </c>
      <c r="N84" t="b">
        <f>NOT(OR(Final_table[[#This Row],[Degree Required]]="Not Specified",Final_table[[#This Row],[Degree Required]]="High School Diploma",Final_table[[#This Row],[Degree Required]]="Bachelor's Degree"))</f>
        <v>0</v>
      </c>
      <c r="O84" t="s">
        <v>37</v>
      </c>
      <c r="P84" t="s">
        <v>491</v>
      </c>
      <c r="Q84" s="2" t="s">
        <v>492</v>
      </c>
      <c r="R84" t="s">
        <v>493</v>
      </c>
      <c r="S84" t="s">
        <v>586</v>
      </c>
    </row>
    <row r="85" spans="1:23" ht="43.2" x14ac:dyDescent="0.55000000000000004">
      <c r="A85">
        <v>84</v>
      </c>
      <c r="B85" t="s">
        <v>144</v>
      </c>
      <c r="C85" t="s">
        <v>494</v>
      </c>
      <c r="D85" t="s">
        <v>584</v>
      </c>
      <c r="E85" t="s">
        <v>495</v>
      </c>
      <c r="F85" t="s">
        <v>496</v>
      </c>
      <c r="G85" t="s">
        <v>34</v>
      </c>
      <c r="H85" t="s">
        <v>35</v>
      </c>
      <c r="J85" t="s">
        <v>54</v>
      </c>
      <c r="K85" t="s">
        <v>23</v>
      </c>
      <c r="L85" t="s">
        <v>55</v>
      </c>
      <c r="M85" s="3" t="s">
        <v>25</v>
      </c>
      <c r="N85" t="b">
        <f>NOT(OR(Final_table[[#This Row],[Degree Required]]="Not Specified",Final_table[[#This Row],[Degree Required]]="High School Diploma",Final_table[[#This Row],[Degree Required]]="Bachelor's Degree"))</f>
        <v>0</v>
      </c>
      <c r="O85" t="s">
        <v>37</v>
      </c>
      <c r="P85" t="s">
        <v>497</v>
      </c>
      <c r="Q85" s="2" t="s">
        <v>498</v>
      </c>
      <c r="R85" t="s">
        <v>499</v>
      </c>
      <c r="S85" t="s">
        <v>589</v>
      </c>
    </row>
    <row r="86" spans="1:23" ht="43.2" x14ac:dyDescent="0.55000000000000004">
      <c r="A86">
        <v>85</v>
      </c>
      <c r="B86" t="s">
        <v>500</v>
      </c>
      <c r="C86" t="s">
        <v>501</v>
      </c>
      <c r="D86" t="s">
        <v>584</v>
      </c>
      <c r="E86" t="s">
        <v>51</v>
      </c>
      <c r="F86" t="s">
        <v>496</v>
      </c>
      <c r="G86" t="s">
        <v>34</v>
      </c>
      <c r="H86" t="s">
        <v>35</v>
      </c>
      <c r="I86" s="1">
        <v>46184</v>
      </c>
      <c r="J86" t="s">
        <v>54</v>
      </c>
      <c r="K86" t="s">
        <v>23</v>
      </c>
      <c r="L86" t="s">
        <v>437</v>
      </c>
      <c r="M86" s="3" t="s">
        <v>170</v>
      </c>
      <c r="N86" t="b">
        <f>NOT(OR(Final_table[[#This Row],[Degree Required]]="Not Specified",Final_table[[#This Row],[Degree Required]]="High School Diploma",Final_table[[#This Row],[Degree Required]]="Bachelor's Degree"))</f>
        <v>0</v>
      </c>
      <c r="O86" t="s">
        <v>37</v>
      </c>
      <c r="P86" t="s">
        <v>502</v>
      </c>
      <c r="Q86" s="2" t="s">
        <v>503</v>
      </c>
      <c r="R86" t="s">
        <v>504</v>
      </c>
      <c r="S86" t="s">
        <v>593</v>
      </c>
    </row>
    <row r="87" spans="1:23" ht="57.6" x14ac:dyDescent="0.55000000000000004">
      <c r="A87">
        <v>86</v>
      </c>
      <c r="B87" t="s">
        <v>505</v>
      </c>
      <c r="C87" t="s">
        <v>506</v>
      </c>
      <c r="D87" t="s">
        <v>584</v>
      </c>
      <c r="E87" t="s">
        <v>507</v>
      </c>
      <c r="F87" t="s">
        <v>508</v>
      </c>
      <c r="G87" t="s">
        <v>509</v>
      </c>
      <c r="H87" t="s">
        <v>35</v>
      </c>
      <c r="I87" s="1">
        <v>45306</v>
      </c>
      <c r="J87" t="s">
        <v>54</v>
      </c>
      <c r="K87" t="s">
        <v>23</v>
      </c>
      <c r="L87" t="s">
        <v>24</v>
      </c>
      <c r="M87" s="3" t="s">
        <v>25</v>
      </c>
      <c r="N87" t="b">
        <f>NOT(OR(Final_table[[#This Row],[Degree Required]]="Not Specified",Final_table[[#This Row],[Degree Required]]="High School Diploma",Final_table[[#This Row],[Degree Required]]="Bachelor's Degree"))</f>
        <v>0</v>
      </c>
      <c r="O87" t="s">
        <v>37</v>
      </c>
      <c r="P87" t="s">
        <v>510</v>
      </c>
      <c r="Q87" s="2" t="s">
        <v>511</v>
      </c>
      <c r="R87" t="s">
        <v>512</v>
      </c>
      <c r="S87" t="s">
        <v>594</v>
      </c>
    </row>
    <row r="88" spans="1:23" ht="43.2" x14ac:dyDescent="0.55000000000000004">
      <c r="A88">
        <v>87</v>
      </c>
      <c r="B88" t="s">
        <v>513</v>
      </c>
      <c r="C88" t="s">
        <v>514</v>
      </c>
      <c r="D88" t="s">
        <v>584</v>
      </c>
      <c r="E88" t="s">
        <v>51</v>
      </c>
      <c r="F88" t="s">
        <v>515</v>
      </c>
      <c r="G88" t="s">
        <v>516</v>
      </c>
      <c r="H88" t="s">
        <v>35</v>
      </c>
      <c r="I88" s="1">
        <v>46202</v>
      </c>
      <c r="J88" t="s">
        <v>36</v>
      </c>
      <c r="K88" t="s">
        <v>23</v>
      </c>
      <c r="L88" t="s">
        <v>36</v>
      </c>
      <c r="M88" s="3" t="s">
        <v>170</v>
      </c>
      <c r="N88" t="b">
        <f>NOT(OR(Final_table[[#This Row],[Degree Required]]="Not Specified",Final_table[[#This Row],[Degree Required]]="High School Diploma",Final_table[[#This Row],[Degree Required]]="Bachelor's Degree"))</f>
        <v>0</v>
      </c>
      <c r="O88" t="s">
        <v>37</v>
      </c>
      <c r="P88" t="s">
        <v>517</v>
      </c>
      <c r="Q88" s="2" t="s">
        <v>582</v>
      </c>
      <c r="R88" t="s">
        <v>519</v>
      </c>
      <c r="S88" t="s">
        <v>597</v>
      </c>
      <c r="T88" s="5"/>
      <c r="U88" s="6"/>
      <c r="V88" s="6"/>
      <c r="W88" s="6"/>
    </row>
    <row r="89" spans="1:23" ht="57.6" x14ac:dyDescent="0.55000000000000004">
      <c r="A89">
        <v>88</v>
      </c>
      <c r="B89" t="s">
        <v>520</v>
      </c>
      <c r="C89" t="s">
        <v>514</v>
      </c>
      <c r="D89" t="s">
        <v>584</v>
      </c>
      <c r="E89" t="s">
        <v>51</v>
      </c>
      <c r="F89" t="s">
        <v>515</v>
      </c>
      <c r="G89" t="s">
        <v>516</v>
      </c>
      <c r="H89" t="s">
        <v>35</v>
      </c>
      <c r="I89" s="1">
        <v>46202</v>
      </c>
      <c r="J89" t="s">
        <v>36</v>
      </c>
      <c r="K89" t="s">
        <v>23</v>
      </c>
      <c r="L89" t="s">
        <v>55</v>
      </c>
      <c r="M89" s="3" t="s">
        <v>170</v>
      </c>
      <c r="N89" t="b">
        <f>NOT(OR(Final_table[[#This Row],[Degree Required]]="Not Specified",Final_table[[#This Row],[Degree Required]]="High School Diploma",Final_table[[#This Row],[Degree Required]]="Bachelor's Degree"))</f>
        <v>0</v>
      </c>
      <c r="O89" t="s">
        <v>37</v>
      </c>
      <c r="P89" t="s">
        <v>517</v>
      </c>
      <c r="Q89" s="2" t="s">
        <v>518</v>
      </c>
      <c r="R89" t="s">
        <v>519</v>
      </c>
      <c r="S89" t="s">
        <v>596</v>
      </c>
      <c r="T89" s="5"/>
      <c r="U89" s="7"/>
      <c r="V89" s="4"/>
      <c r="W89" s="4"/>
    </row>
    <row r="90" spans="1:23" ht="57.6" x14ac:dyDescent="0.55000000000000004">
      <c r="A90">
        <v>89</v>
      </c>
      <c r="B90" t="s">
        <v>521</v>
      </c>
      <c r="C90" t="s">
        <v>514</v>
      </c>
      <c r="D90" t="s">
        <v>584</v>
      </c>
      <c r="E90" t="s">
        <v>51</v>
      </c>
      <c r="F90" t="s">
        <v>515</v>
      </c>
      <c r="G90" t="s">
        <v>516</v>
      </c>
      <c r="H90" t="s">
        <v>35</v>
      </c>
      <c r="I90" s="1">
        <v>46175</v>
      </c>
      <c r="J90" t="s">
        <v>36</v>
      </c>
      <c r="K90" t="s">
        <v>23</v>
      </c>
      <c r="L90" t="s">
        <v>24</v>
      </c>
      <c r="M90" s="3" t="s">
        <v>25</v>
      </c>
      <c r="N90" t="b">
        <f>NOT(OR(Final_table[[#This Row],[Degree Required]]="Not Specified",Final_table[[#This Row],[Degree Required]]="High School Diploma",Final_table[[#This Row],[Degree Required]]="Bachelor's Degree"))</f>
        <v>1</v>
      </c>
      <c r="O90" t="s">
        <v>522</v>
      </c>
      <c r="P90" t="s">
        <v>523</v>
      </c>
      <c r="Q90" s="2" t="s">
        <v>524</v>
      </c>
      <c r="R90" t="s">
        <v>525</v>
      </c>
      <c r="S90" t="s">
        <v>598</v>
      </c>
      <c r="T90" s="5"/>
      <c r="U90" s="7"/>
      <c r="V90" s="7"/>
      <c r="W90" s="4"/>
    </row>
    <row r="91" spans="1:23" ht="72" x14ac:dyDescent="0.55000000000000004">
      <c r="A91">
        <v>90</v>
      </c>
      <c r="B91" t="s">
        <v>526</v>
      </c>
      <c r="C91" t="s">
        <v>514</v>
      </c>
      <c r="D91" t="s">
        <v>584</v>
      </c>
      <c r="E91" t="s">
        <v>51</v>
      </c>
      <c r="F91" t="s">
        <v>515</v>
      </c>
      <c r="G91" t="s">
        <v>516</v>
      </c>
      <c r="H91" t="s">
        <v>35</v>
      </c>
      <c r="I91" s="1" t="s">
        <v>527</v>
      </c>
      <c r="J91" t="s">
        <v>36</v>
      </c>
      <c r="K91" t="s">
        <v>23</v>
      </c>
      <c r="L91" t="s">
        <v>55</v>
      </c>
      <c r="M91" s="3" t="s">
        <v>106</v>
      </c>
      <c r="N91" t="b">
        <f>NOT(OR(Final_table[[#This Row],[Degree Required]]="Not Specified",Final_table[[#This Row],[Degree Required]]="High School Diploma",Final_table[[#This Row],[Degree Required]]="Bachelor's Degree"))</f>
        <v>1</v>
      </c>
      <c r="O91" t="s">
        <v>528</v>
      </c>
      <c r="P91" t="s">
        <v>529</v>
      </c>
      <c r="Q91" s="2" t="s">
        <v>583</v>
      </c>
      <c r="R91" t="s">
        <v>530</v>
      </c>
      <c r="S91" t="s">
        <v>593</v>
      </c>
      <c r="T91" s="5"/>
      <c r="U91" s="7"/>
      <c r="V91" s="7"/>
      <c r="W91" s="4"/>
    </row>
    <row r="92" spans="1:23" ht="57.6" x14ac:dyDescent="0.55000000000000004">
      <c r="A92">
        <v>91</v>
      </c>
      <c r="B92" t="s">
        <v>531</v>
      </c>
      <c r="C92" t="s">
        <v>532</v>
      </c>
      <c r="D92" t="s">
        <v>31</v>
      </c>
      <c r="E92" t="s">
        <v>533</v>
      </c>
      <c r="F92" t="s">
        <v>534</v>
      </c>
      <c r="G92" t="s">
        <v>535</v>
      </c>
      <c r="H92" t="s">
        <v>35</v>
      </c>
      <c r="I92" s="1">
        <v>46213</v>
      </c>
      <c r="J92" t="s">
        <v>22</v>
      </c>
      <c r="K92" t="s">
        <v>23</v>
      </c>
      <c r="L92" t="s">
        <v>75</v>
      </c>
      <c r="M92" s="3" t="s">
        <v>81</v>
      </c>
      <c r="N92" t="b">
        <f>NOT(OR(Final_table[[#This Row],[Degree Required]]="Not Specified",Final_table[[#This Row],[Degree Required]]="High School Diploma",Final_table[[#This Row],[Degree Required]]="Bachelor's Degree"))</f>
        <v>0</v>
      </c>
      <c r="O92" t="s">
        <v>37</v>
      </c>
      <c r="P92" t="s">
        <v>536</v>
      </c>
      <c r="Q92" s="2" t="s">
        <v>537</v>
      </c>
      <c r="R92" t="s">
        <v>538</v>
      </c>
      <c r="S92" t="s">
        <v>596</v>
      </c>
      <c r="T92" s="5"/>
      <c r="U92" s="7"/>
      <c r="V92" s="7"/>
      <c r="W92" s="4"/>
    </row>
    <row r="93" spans="1:23" ht="57.6" x14ac:dyDescent="0.55000000000000004">
      <c r="A93">
        <v>92</v>
      </c>
      <c r="B93" t="s">
        <v>539</v>
      </c>
      <c r="C93" t="s">
        <v>540</v>
      </c>
      <c r="D93" t="s">
        <v>584</v>
      </c>
      <c r="E93" t="s">
        <v>51</v>
      </c>
      <c r="F93" t="s">
        <v>242</v>
      </c>
      <c r="G93" t="s">
        <v>34</v>
      </c>
      <c r="H93" t="s">
        <v>35</v>
      </c>
      <c r="J93" t="s">
        <v>74</v>
      </c>
      <c r="K93" t="s">
        <v>23</v>
      </c>
      <c r="L93" t="s">
        <v>24</v>
      </c>
      <c r="M93" s="3" t="s">
        <v>106</v>
      </c>
      <c r="N93" t="b">
        <f>NOT(OR(Final_table[[#This Row],[Degree Required]]="Not Specified",Final_table[[#This Row],[Degree Required]]="High School Diploma",Final_table[[#This Row],[Degree Required]]="Bachelor's Degree"))</f>
        <v>0</v>
      </c>
      <c r="O93" t="s">
        <v>37</v>
      </c>
      <c r="P93" t="s">
        <v>541</v>
      </c>
      <c r="Q93" s="2" t="s">
        <v>542</v>
      </c>
      <c r="R93" t="s">
        <v>543</v>
      </c>
      <c r="S93" t="s">
        <v>593</v>
      </c>
    </row>
    <row r="94" spans="1:23" ht="57.6" x14ac:dyDescent="0.55000000000000004">
      <c r="A94">
        <v>93</v>
      </c>
      <c r="B94" t="s">
        <v>544</v>
      </c>
      <c r="C94" t="s">
        <v>545</v>
      </c>
      <c r="D94" t="s">
        <v>584</v>
      </c>
      <c r="E94" t="s">
        <v>51</v>
      </c>
      <c r="F94" t="s">
        <v>546</v>
      </c>
      <c r="G94" t="s">
        <v>413</v>
      </c>
      <c r="H94" t="s">
        <v>35</v>
      </c>
      <c r="I94" s="1">
        <v>46204</v>
      </c>
      <c r="J94" t="s">
        <v>54</v>
      </c>
      <c r="K94" t="s">
        <v>23</v>
      </c>
      <c r="L94" t="s">
        <v>24</v>
      </c>
      <c r="M94" s="3" t="s">
        <v>106</v>
      </c>
      <c r="N94" t="b">
        <f>NOT(OR(Final_table[[#This Row],[Degree Required]]="Not Specified",Final_table[[#This Row],[Degree Required]]="High School Diploma",Final_table[[#This Row],[Degree Required]]="Bachelor's Degree"))</f>
        <v>1</v>
      </c>
      <c r="O94" t="s">
        <v>547</v>
      </c>
      <c r="P94" t="s">
        <v>548</v>
      </c>
      <c r="Q94" s="2" t="s">
        <v>549</v>
      </c>
      <c r="R94" t="s">
        <v>550</v>
      </c>
      <c r="S94" t="s">
        <v>593</v>
      </c>
    </row>
    <row r="95" spans="1:23" ht="57.6" x14ac:dyDescent="0.55000000000000004">
      <c r="A95">
        <v>94</v>
      </c>
      <c r="B95" t="s">
        <v>551</v>
      </c>
      <c r="C95" t="s">
        <v>552</v>
      </c>
      <c r="D95" t="s">
        <v>584</v>
      </c>
      <c r="E95" t="s">
        <v>553</v>
      </c>
      <c r="F95" t="s">
        <v>242</v>
      </c>
      <c r="G95" t="s">
        <v>34</v>
      </c>
      <c r="H95" t="s">
        <v>35</v>
      </c>
      <c r="J95" t="s">
        <v>74</v>
      </c>
      <c r="K95" t="s">
        <v>23</v>
      </c>
      <c r="L95" t="s">
        <v>420</v>
      </c>
      <c r="M95" s="3" t="s">
        <v>25</v>
      </c>
      <c r="N95" t="b">
        <f>NOT(OR(Final_table[[#This Row],[Degree Required]]="Not Specified",Final_table[[#This Row],[Degree Required]]="High School Diploma",Final_table[[#This Row],[Degree Required]]="Bachelor's Degree"))</f>
        <v>0</v>
      </c>
      <c r="O95" t="s">
        <v>37</v>
      </c>
      <c r="P95" t="s">
        <v>554</v>
      </c>
      <c r="Q95" s="2" t="s">
        <v>555</v>
      </c>
      <c r="R95" t="s">
        <v>556</v>
      </c>
      <c r="S95" t="s">
        <v>589</v>
      </c>
    </row>
    <row r="96" spans="1:23" ht="43.2" x14ac:dyDescent="0.55000000000000004">
      <c r="A96">
        <v>95</v>
      </c>
      <c r="B96" t="s">
        <v>557</v>
      </c>
      <c r="C96" t="s">
        <v>552</v>
      </c>
      <c r="D96" t="s">
        <v>584</v>
      </c>
      <c r="E96" t="s">
        <v>553</v>
      </c>
      <c r="F96" t="s">
        <v>558</v>
      </c>
      <c r="G96" t="s">
        <v>34</v>
      </c>
      <c r="H96" t="s">
        <v>35</v>
      </c>
      <c r="J96" t="s">
        <v>74</v>
      </c>
      <c r="K96" t="s">
        <v>23</v>
      </c>
      <c r="L96" t="s">
        <v>55</v>
      </c>
      <c r="M96" s="3" t="s">
        <v>170</v>
      </c>
      <c r="N96" t="b">
        <f>NOT(OR(Final_table[[#This Row],[Degree Required]]="Not Specified",Final_table[[#This Row],[Degree Required]]="High School Diploma",Final_table[[#This Row],[Degree Required]]="Bachelor's Degree"))</f>
        <v>1</v>
      </c>
      <c r="O96" t="s">
        <v>559</v>
      </c>
      <c r="P96" t="s">
        <v>560</v>
      </c>
      <c r="Q96" s="2" t="s">
        <v>561</v>
      </c>
      <c r="R96" t="s">
        <v>562</v>
      </c>
      <c r="S96" t="s">
        <v>589</v>
      </c>
    </row>
    <row r="97" spans="1:19" ht="43.2" x14ac:dyDescent="0.55000000000000004">
      <c r="A97">
        <v>96</v>
      </c>
      <c r="B97" t="s">
        <v>144</v>
      </c>
      <c r="C97" t="s">
        <v>563</v>
      </c>
      <c r="D97" t="s">
        <v>584</v>
      </c>
      <c r="E97" t="s">
        <v>564</v>
      </c>
      <c r="F97" t="s">
        <v>242</v>
      </c>
      <c r="G97" t="s">
        <v>34</v>
      </c>
      <c r="H97" t="s">
        <v>35</v>
      </c>
      <c r="J97" t="s">
        <v>74</v>
      </c>
      <c r="K97" t="s">
        <v>23</v>
      </c>
      <c r="L97" t="s">
        <v>55</v>
      </c>
      <c r="M97" s="3" t="s">
        <v>170</v>
      </c>
      <c r="N97" t="b">
        <f>NOT(OR(Final_table[[#This Row],[Degree Required]]="Not Specified",Final_table[[#This Row],[Degree Required]]="High School Diploma",Final_table[[#This Row],[Degree Required]]="Bachelor's Degree"))</f>
        <v>0</v>
      </c>
      <c r="O97" t="s">
        <v>37</v>
      </c>
      <c r="P97" t="s">
        <v>565</v>
      </c>
      <c r="Q97" s="2" t="s">
        <v>566</v>
      </c>
      <c r="R97" t="s">
        <v>567</v>
      </c>
      <c r="S97" t="s">
        <v>589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DCC735-B1D7-451E-B074-7F962CD524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 Saleh</dc:creator>
  <cp:lastModifiedBy>Hanan Saleh</cp:lastModifiedBy>
  <dcterms:created xsi:type="dcterms:W3CDTF">2026-07-29T19:00:25Z</dcterms:created>
  <dcterms:modified xsi:type="dcterms:W3CDTF">2026-08-02T10:18:57Z</dcterms:modified>
</cp:coreProperties>
</file>